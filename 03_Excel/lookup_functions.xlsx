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7\Desktop\30daysDA\"/>
    </mc:Choice>
  </mc:AlternateContent>
  <xr:revisionPtr revIDLastSave="0" documentId="8_{E8542414-2D14-4544-BB98-11174456DA81}" xr6:coauthVersionLast="47" xr6:coauthVersionMax="47" xr10:uidLastSave="{00000000-0000-0000-0000-000000000000}"/>
  <bookViews>
    <workbookView xWindow="-108" yWindow="-108" windowWidth="23256" windowHeight="12456" xr2:uid="{85EEE7DC-1795-4FBE-8485-5567931FD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" i="1" l="1"/>
  <c r="O20" i="1"/>
  <c r="O19" i="1"/>
  <c r="O18" i="1"/>
  <c r="L13" i="1"/>
  <c r="L12" i="1"/>
  <c r="L11" i="1"/>
  <c r="M5" i="1"/>
  <c r="M3" i="1"/>
  <c r="M1" i="1"/>
</calcChain>
</file>

<file path=xl/sharedStrings.xml><?xml version="1.0" encoding="utf-8"?>
<sst xmlns="http://schemas.openxmlformats.org/spreadsheetml/2006/main" count="51" uniqueCount="33">
  <si>
    <t>Employee ID</t>
  </si>
  <si>
    <t>Name</t>
  </si>
  <si>
    <t>Department</t>
  </si>
  <si>
    <t>Ravi</t>
  </si>
  <si>
    <t>HR</t>
  </si>
  <si>
    <t>Priya</t>
  </si>
  <si>
    <t>IT</t>
  </si>
  <si>
    <t>Sunil</t>
  </si>
  <si>
    <t>Sales</t>
  </si>
  <si>
    <t>Meena</t>
  </si>
  <si>
    <t>Rahul</t>
  </si>
  <si>
    <t>Salary</t>
  </si>
  <si>
    <t>Display the salary of Employee ID 103</t>
  </si>
  <si>
    <t>Display the salary of Employee ID 105.</t>
  </si>
  <si>
    <t>Display the salary of Employee ID 101.</t>
  </si>
  <si>
    <t>&lt;= VLOOKUP</t>
  </si>
  <si>
    <t>Jan</t>
  </si>
  <si>
    <t>Feb</t>
  </si>
  <si>
    <t>Mar</t>
  </si>
  <si>
    <t>Apr</t>
  </si>
  <si>
    <t>May</t>
  </si>
  <si>
    <t>Profit</t>
  </si>
  <si>
    <t>Expenses</t>
  </si>
  <si>
    <t>category</t>
  </si>
  <si>
    <t>Find Sales for March.</t>
  </si>
  <si>
    <t>Find Profit for April.</t>
  </si>
  <si>
    <t>Find Expenses for May.</t>
  </si>
  <si>
    <t>&lt;=HLOOKUP</t>
  </si>
  <si>
    <t>Find the Salary of Employee ID 104.</t>
  </si>
  <si>
    <t xml:space="preserve"> Find the Department of Rahul.</t>
  </si>
  <si>
    <t xml:space="preserve"> Find the Employee ID of Priya.</t>
  </si>
  <si>
    <t xml:space="preserve"> Search for Employee ID 110 and display "Not Found".</t>
  </si>
  <si>
    <t>&lt;= 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</si>
</sst>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0" xfId="2"/>
    <xf numFmtId="0" fontId="1" fillId="3" borderId="0" xfId="2"/>
    <xf numFmtId="0" fontId="1" fillId="3" borderId="0" xfId="2" applyAlignment="1">
      <alignment horizontal="center"/>
    </xf>
    <xf numFmtId="0" fontId="1" fillId="3" borderId="0" xfId="2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2" fillId="0" borderId="0" xfId="0" applyFont="1"/>
    <xf numFmtId="0" fontId="1" fillId="2" borderId="0" xfId="1" applyAlignment="1">
      <alignment horizontal="center"/>
    </xf>
    <xf numFmtId="0" fontId="1" fillId="2" borderId="0" xfId="1"/>
    <xf numFmtId="0" fontId="3" fillId="4" borderId="0" xfId="3" applyAlignment="1">
      <alignment horizontal="left" vertical="center"/>
    </xf>
    <xf numFmtId="0" fontId="3" fillId="4" borderId="0" xfId="3"/>
    <xf numFmtId="0" fontId="3" fillId="4" borderId="0" xfId="3" applyAlignment="1">
      <alignment horizontal="left"/>
    </xf>
    <xf numFmtId="0" fontId="3" fillId="4" borderId="0" xfId="3" applyAlignment="1">
      <alignment horizontal="right"/>
    </xf>
    <xf numFmtId="0" fontId="5" fillId="7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</cellXfs>
  <cellStyles count="4">
    <cellStyle name="40% - Accent2" xfId="1" builtinId="35"/>
    <cellStyle name="40% - Accent5" xfId="2" builtinId="47"/>
    <cellStyle name="Accent6" xfId="3" builtinId="49"/>
    <cellStyle name="Normal" xfId="0" builtinId="0"/>
  </cellStyles>
  <dxfs count="23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5CBFDD-B581-48B5-9ECB-52140DFD6A5B}" name="Table1" displayName="Table1" ref="A1:C6" totalsRowShown="0" headerRowDxfId="15" dataDxfId="14">
  <autoFilter ref="A1:C6" xr:uid="{E95CBFDD-B581-48B5-9ECB-52140DFD6A5B}"/>
  <tableColumns count="3">
    <tableColumn id="1" xr3:uid="{B42F63FC-61E6-40B3-B93A-2D3DCF030061}" name="Employee ID" dataDxfId="18"/>
    <tableColumn id="2" xr3:uid="{0E5A58C1-177C-45A5-8EB9-C00168DDB115}" name="Name" dataDxfId="17"/>
    <tableColumn id="3" xr3:uid="{30B93E92-562E-4326-B30E-CB0F68EB11BB}" name="Department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7F0E5F-0A9D-4507-BBB7-25ECF2FF81F2}" name="Table2" displayName="Table2" ref="E1:F6" totalsRowShown="0" headerRowDxfId="20" dataDxfId="19">
  <autoFilter ref="E1:F6" xr:uid="{847F0E5F-0A9D-4507-BBB7-25ECF2FF81F2}"/>
  <tableColumns count="2">
    <tableColumn id="1" xr3:uid="{B9868858-5577-426C-8523-D63A598A6E9B}" name="Employee ID" dataDxfId="22"/>
    <tableColumn id="2" xr3:uid="{46FF9898-4452-4B03-9A54-E2D62DF4660D}" name="Salary" dataDxfId="2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857B33-9609-474F-87C6-A5458DFB418A}" name="Table3" displayName="Table3" ref="A11:F14" totalsRowShown="0" headerRowDxfId="7" dataDxfId="6">
  <autoFilter ref="A11:F14" xr:uid="{C2857B33-9609-474F-87C6-A5458DFB418A}"/>
  <tableColumns count="6">
    <tableColumn id="1" xr3:uid="{CB55D453-B590-450E-B54B-03E3223C5020}" name="category" dataDxfId="13"/>
    <tableColumn id="2" xr3:uid="{698C0AF3-340A-4BA9-B936-4A2B8559FD7D}" name="Jan" dataDxfId="12"/>
    <tableColumn id="3" xr3:uid="{E90B0A1E-32B3-4E6B-B451-FF3B916CCDB5}" name="Feb" dataDxfId="11"/>
    <tableColumn id="4" xr3:uid="{E7A82E0B-4AD1-47DB-8A81-D9139C9A7A2F}" name="Mar" dataDxfId="10"/>
    <tableColumn id="5" xr3:uid="{8A2EA5CA-4ED4-4428-A62D-0A72B3C08AE0}" name="Apr" dataDxfId="9"/>
    <tableColumn id="6" xr3:uid="{05796EEB-2A79-44A7-8764-02FF87163357}" name="May" dataDxfId="8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B613C8-D80E-480A-BEFF-903051A39C74}" name="Table5" displayName="Table5" ref="A18:D23" totalsRowShown="0" headerRowDxfId="1" dataDxfId="0">
  <autoFilter ref="A18:D23" xr:uid="{1FB613C8-D80E-480A-BEFF-903051A39C74}"/>
  <tableColumns count="4">
    <tableColumn id="1" xr3:uid="{B0807B24-9D59-466E-B81A-993DB27CB857}" name="Employee ID" dataDxfId="5"/>
    <tableColumn id="2" xr3:uid="{EC499A95-4DA4-4C41-99A7-F34906AD97DB}" name="Name" dataDxfId="4"/>
    <tableColumn id="3" xr3:uid="{6399C318-BA88-466B-8A6E-BD4ACF9387AD}" name="Department" dataDxfId="3"/>
    <tableColumn id="4" xr3:uid="{4F5BB77F-EFB1-4AAD-B5AE-B5F126A93223}" name="Salary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6E52-6373-44B9-B4AF-EA56F6367A4C}">
  <dimension ref="A1:R23"/>
  <sheetViews>
    <sheetView tabSelected="1" workbookViewId="0">
      <selection activeCell="E16" sqref="E16"/>
    </sheetView>
  </sheetViews>
  <sheetFormatPr defaultRowHeight="14.4" x14ac:dyDescent="0.3"/>
  <cols>
    <col min="1" max="1" width="16.5546875" customWidth="1"/>
    <col min="2" max="2" width="11.21875" customWidth="1"/>
    <col min="3" max="3" width="16" customWidth="1"/>
    <col min="4" max="4" width="11.5546875" customWidth="1"/>
    <col min="5" max="5" width="16" customWidth="1"/>
    <col min="6" max="6" width="9.77734375" customWidth="1"/>
    <col min="7" max="7" width="9.21875" customWidth="1"/>
    <col min="8" max="8" width="8.33203125" bestFit="1" customWidth="1"/>
  </cols>
  <sheetData>
    <row r="1" spans="1:16" ht="17.399999999999999" customHeight="1" x14ac:dyDescent="0.3">
      <c r="A1" s="2" t="s">
        <v>0</v>
      </c>
      <c r="B1" s="2" t="s">
        <v>1</v>
      </c>
      <c r="C1" s="2" t="s">
        <v>2</v>
      </c>
      <c r="E1" s="2" t="s">
        <v>0</v>
      </c>
      <c r="F1" s="2" t="s">
        <v>11</v>
      </c>
      <c r="G1" s="2"/>
      <c r="H1" s="2"/>
      <c r="I1" s="4" t="s">
        <v>12</v>
      </c>
      <c r="J1" s="4"/>
      <c r="K1" s="4"/>
      <c r="L1" s="4"/>
      <c r="M1" s="5">
        <f>VLOOKUP(A4,$E$2:$F$6,2,FALSE)</f>
        <v>40000</v>
      </c>
    </row>
    <row r="2" spans="1:16" x14ac:dyDescent="0.3">
      <c r="A2" s="1">
        <v>101</v>
      </c>
      <c r="B2" s="1" t="s">
        <v>3</v>
      </c>
      <c r="C2" s="1" t="s">
        <v>4</v>
      </c>
      <c r="E2" s="1">
        <v>101</v>
      </c>
      <c r="F2" s="1">
        <v>30000</v>
      </c>
      <c r="G2" s="3"/>
      <c r="H2" s="3"/>
      <c r="I2" s="5"/>
      <c r="J2" s="5"/>
      <c r="K2" s="5"/>
      <c r="L2" s="5"/>
      <c r="M2" s="5"/>
    </row>
    <row r="3" spans="1:16" x14ac:dyDescent="0.3">
      <c r="A3" s="1">
        <v>102</v>
      </c>
      <c r="B3" s="1" t="s">
        <v>5</v>
      </c>
      <c r="C3" s="1" t="s">
        <v>6</v>
      </c>
      <c r="E3" s="1">
        <v>102</v>
      </c>
      <c r="F3" s="1">
        <v>45000</v>
      </c>
      <c r="G3" s="3"/>
      <c r="H3" s="3"/>
      <c r="I3" s="6" t="s">
        <v>13</v>
      </c>
      <c r="J3" s="6"/>
      <c r="K3" s="6"/>
      <c r="L3" s="6"/>
      <c r="M3" s="5">
        <f>VLOOKUP(A6,$E$2:$F$6,2,FALSE)</f>
        <v>55000</v>
      </c>
      <c r="O3" s="8" t="s">
        <v>15</v>
      </c>
      <c r="P3" s="8"/>
    </row>
    <row r="4" spans="1:16" x14ac:dyDescent="0.3">
      <c r="A4" s="1">
        <v>103</v>
      </c>
      <c r="B4" s="1" t="s">
        <v>7</v>
      </c>
      <c r="C4" s="1" t="s">
        <v>8</v>
      </c>
      <c r="E4" s="1">
        <v>103</v>
      </c>
      <c r="F4" s="1">
        <v>40000</v>
      </c>
      <c r="G4" s="3"/>
      <c r="H4" s="3"/>
      <c r="I4" s="5"/>
      <c r="J4" s="5"/>
      <c r="K4" s="5"/>
      <c r="L4" s="5"/>
      <c r="M4" s="5"/>
    </row>
    <row r="5" spans="1:16" x14ac:dyDescent="0.3">
      <c r="A5" s="1">
        <v>104</v>
      </c>
      <c r="B5" s="1" t="s">
        <v>9</v>
      </c>
      <c r="C5" s="1" t="s">
        <v>4</v>
      </c>
      <c r="E5" s="1">
        <v>104</v>
      </c>
      <c r="F5" s="1">
        <v>42000</v>
      </c>
      <c r="G5" s="3"/>
      <c r="H5" s="3"/>
      <c r="I5" s="7" t="s">
        <v>14</v>
      </c>
      <c r="J5" s="7"/>
      <c r="K5" s="7"/>
      <c r="L5" s="7"/>
      <c r="M5" s="5">
        <f>VLOOKUP(A2,$E$2:$F$6,2,TRUE)</f>
        <v>30000</v>
      </c>
    </row>
    <row r="6" spans="1:16" x14ac:dyDescent="0.3">
      <c r="A6" s="1">
        <v>105</v>
      </c>
      <c r="B6" s="1" t="s">
        <v>10</v>
      </c>
      <c r="C6" s="1" t="s">
        <v>6</v>
      </c>
      <c r="E6" s="1">
        <v>105</v>
      </c>
      <c r="F6" s="1">
        <v>55000</v>
      </c>
      <c r="G6" s="3"/>
      <c r="H6" s="3"/>
    </row>
    <row r="11" spans="1:16" x14ac:dyDescent="0.3">
      <c r="A11" s="2" t="s">
        <v>23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20</v>
      </c>
      <c r="I11" s="10" t="s">
        <v>24</v>
      </c>
      <c r="J11" s="10"/>
      <c r="K11" s="10"/>
      <c r="L11" s="11">
        <f>HLOOKUP("Mar",A11:F14,2,FALSE)</f>
        <v>700</v>
      </c>
    </row>
    <row r="12" spans="1:16" x14ac:dyDescent="0.3">
      <c r="A12" s="1" t="s">
        <v>8</v>
      </c>
      <c r="B12" s="1">
        <v>500</v>
      </c>
      <c r="C12" s="1">
        <v>650</v>
      </c>
      <c r="D12" s="1">
        <v>700</v>
      </c>
      <c r="E12" s="1">
        <v>800</v>
      </c>
      <c r="F12" s="1">
        <v>900</v>
      </c>
      <c r="I12" s="10" t="s">
        <v>25</v>
      </c>
      <c r="J12" s="10"/>
      <c r="K12" s="10"/>
      <c r="L12" s="11">
        <f>HLOOKUP("apr",A11:F14,3,FALSE)</f>
        <v>120</v>
      </c>
      <c r="O12" s="17" t="s">
        <v>27</v>
      </c>
      <c r="P12" s="17"/>
    </row>
    <row r="13" spans="1:16" x14ac:dyDescent="0.3">
      <c r="A13" s="1" t="s">
        <v>21</v>
      </c>
      <c r="B13" s="1">
        <v>50</v>
      </c>
      <c r="C13" s="1">
        <v>70</v>
      </c>
      <c r="D13" s="1">
        <v>90</v>
      </c>
      <c r="E13" s="1">
        <v>120</v>
      </c>
      <c r="F13" s="1">
        <v>150</v>
      </c>
      <c r="I13" s="10" t="s">
        <v>26</v>
      </c>
      <c r="J13" s="10"/>
      <c r="K13" s="10"/>
      <c r="L13" s="11">
        <f>HLOOKUP("may",A11:F14,4,TRUE)</f>
        <v>500</v>
      </c>
    </row>
    <row r="14" spans="1:16" x14ac:dyDescent="0.3">
      <c r="A14" s="1" t="s">
        <v>22</v>
      </c>
      <c r="B14" s="1">
        <v>300</v>
      </c>
      <c r="C14" s="1">
        <v>350</v>
      </c>
      <c r="D14" s="1">
        <v>400</v>
      </c>
      <c r="E14" s="1">
        <v>450</v>
      </c>
      <c r="F14" s="1">
        <v>500</v>
      </c>
    </row>
    <row r="18" spans="1:18" x14ac:dyDescent="0.3">
      <c r="A18" s="2" t="s">
        <v>0</v>
      </c>
      <c r="B18" s="2" t="s">
        <v>1</v>
      </c>
      <c r="C18" s="2" t="s">
        <v>2</v>
      </c>
      <c r="D18" s="2" t="s">
        <v>11</v>
      </c>
      <c r="I18" s="12" t="s">
        <v>28</v>
      </c>
      <c r="J18" s="12"/>
      <c r="K18" s="12"/>
      <c r="L18" s="12"/>
      <c r="M18" s="12"/>
      <c r="N18" s="12"/>
      <c r="O18" s="13">
        <f>_xlfn.XLOOKUP(104,A18:A23,D18:D23,"not found")</f>
        <v>42000</v>
      </c>
    </row>
    <row r="19" spans="1:18" x14ac:dyDescent="0.3">
      <c r="A19" s="1">
        <v>101</v>
      </c>
      <c r="B19" s="1" t="s">
        <v>3</v>
      </c>
      <c r="C19" s="1" t="s">
        <v>4</v>
      </c>
      <c r="D19" s="1">
        <v>30000</v>
      </c>
      <c r="I19" s="12" t="s">
        <v>29</v>
      </c>
      <c r="J19" s="12"/>
      <c r="K19" s="12"/>
      <c r="L19" s="12"/>
      <c r="M19" s="12"/>
      <c r="N19" s="14"/>
      <c r="O19" s="15" t="str">
        <f>_xlfn.XLOOKUP("rahul",B18:B23,C18:C23,"not found")</f>
        <v>IT</v>
      </c>
      <c r="Q19" s="16" t="s">
        <v>32</v>
      </c>
      <c r="R19" s="16"/>
    </row>
    <row r="20" spans="1:18" x14ac:dyDescent="0.3">
      <c r="A20" s="1">
        <v>102</v>
      </c>
      <c r="B20" s="1" t="s">
        <v>5</v>
      </c>
      <c r="C20" s="1" t="s">
        <v>6</v>
      </c>
      <c r="D20" s="1">
        <v>45000</v>
      </c>
      <c r="I20" s="12" t="s">
        <v>30</v>
      </c>
      <c r="J20" s="12"/>
      <c r="K20" s="12"/>
      <c r="L20" s="12"/>
      <c r="M20" s="12"/>
      <c r="N20" s="14"/>
      <c r="O20" s="13">
        <f>_xlfn.XLOOKUP("priya",B18:B23,A18:A23,"not found")</f>
        <v>102</v>
      </c>
    </row>
    <row r="21" spans="1:18" x14ac:dyDescent="0.3">
      <c r="A21" s="1">
        <v>103</v>
      </c>
      <c r="B21" s="1" t="s">
        <v>7</v>
      </c>
      <c r="C21" s="1" t="s">
        <v>8</v>
      </c>
      <c r="D21" s="1">
        <v>40000</v>
      </c>
      <c r="I21" s="12" t="s">
        <v>31</v>
      </c>
      <c r="J21" s="12"/>
      <c r="K21" s="12"/>
      <c r="L21" s="12"/>
      <c r="M21" s="12"/>
      <c r="N21" s="12"/>
      <c r="O21" s="13" t="str">
        <f>_xlfn.XLOOKUP(110,A18:A23,B18:B23, "NotFound")</f>
        <v>NotFound</v>
      </c>
    </row>
    <row r="22" spans="1:18" x14ac:dyDescent="0.3">
      <c r="A22" s="1">
        <v>104</v>
      </c>
      <c r="B22" s="1" t="s">
        <v>9</v>
      </c>
      <c r="C22" s="1" t="s">
        <v>4</v>
      </c>
      <c r="D22" s="1">
        <v>42000</v>
      </c>
    </row>
    <row r="23" spans="1:18" x14ac:dyDescent="0.3">
      <c r="A23" s="1">
        <v>105</v>
      </c>
      <c r="B23" s="1" t="s">
        <v>10</v>
      </c>
      <c r="C23" s="1" t="s">
        <v>6</v>
      </c>
      <c r="D23" s="1">
        <v>55000</v>
      </c>
      <c r="I23" s="9"/>
    </row>
  </sheetData>
  <mergeCells count="13">
    <mergeCell ref="I18:N18"/>
    <mergeCell ref="I19:M19"/>
    <mergeCell ref="I20:M20"/>
    <mergeCell ref="I21:N21"/>
    <mergeCell ref="Q19:R19"/>
    <mergeCell ref="I1:L1"/>
    <mergeCell ref="I3:L3"/>
    <mergeCell ref="I5:L5"/>
    <mergeCell ref="O3:P3"/>
    <mergeCell ref="I11:K11"/>
    <mergeCell ref="I12:K12"/>
    <mergeCell ref="I13:K13"/>
    <mergeCell ref="O12:P1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p</dc:creator>
  <cp:lastModifiedBy>sunil p</cp:lastModifiedBy>
  <dcterms:created xsi:type="dcterms:W3CDTF">2026-07-30T17:18:22Z</dcterms:created>
  <dcterms:modified xsi:type="dcterms:W3CDTF">2026-07-30T18:22:01Z</dcterms:modified>
</cp:coreProperties>
</file>