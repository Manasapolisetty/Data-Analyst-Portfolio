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91707\Desktop\30daysDA\"/>
    </mc:Choice>
  </mc:AlternateContent>
  <xr:revisionPtr revIDLastSave="0" documentId="13_ncr:1_{BBB06F9F-0FE8-4F15-9573-DE1EE90745A7}" xr6:coauthVersionLast="47" xr6:coauthVersionMax="47" xr10:uidLastSave="{00000000-0000-0000-0000-000000000000}"/>
  <bookViews>
    <workbookView xWindow="-108" yWindow="-108" windowWidth="23256" windowHeight="12456" activeTab="1" xr2:uid="{C0A8E983-0B9D-437B-8681-4A0589B5AE78}"/>
  </bookViews>
  <sheets>
    <sheet name="Employeedata" sheetId="1" r:id="rId1"/>
    <sheet name="Dashboard" sheetId="2" r:id="rId2"/>
    <sheet name="pivot_data" sheetId="4" r:id="rId3"/>
  </sheets>
  <definedNames>
    <definedName name="Slicer_City">#N/A</definedName>
    <definedName name="Slicer_Department">#N/A</definedName>
    <definedName name="Slicer_Gender">#N/A</definedName>
  </definedNames>
  <calcPr calcId="191029"/>
  <pivotCaches>
    <pivotCache cacheId="2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7" i="2" l="1"/>
  <c r="AB6" i="2"/>
  <c r="AB5" i="2"/>
  <c r="AB4" i="2"/>
</calcChain>
</file>

<file path=xl/sharedStrings.xml><?xml version="1.0" encoding="utf-8"?>
<sst xmlns="http://schemas.openxmlformats.org/spreadsheetml/2006/main" count="96" uniqueCount="47">
  <si>
    <t>Employee ID</t>
  </si>
  <si>
    <t>Name</t>
  </si>
  <si>
    <t>Gender</t>
  </si>
  <si>
    <t>Department</t>
  </si>
  <si>
    <t>City</t>
  </si>
  <si>
    <t>Salary</t>
  </si>
  <si>
    <t>Experience</t>
  </si>
  <si>
    <t>Rating</t>
  </si>
  <si>
    <t>Sunil</t>
  </si>
  <si>
    <t>Male</t>
  </si>
  <si>
    <t>IT</t>
  </si>
  <si>
    <t>Bangalore</t>
  </si>
  <si>
    <t>Rahul</t>
  </si>
  <si>
    <t>HR</t>
  </si>
  <si>
    <t>Hyderabad</t>
  </si>
  <si>
    <t>Priya</t>
  </si>
  <si>
    <t>Female</t>
  </si>
  <si>
    <t>Finance</t>
  </si>
  <si>
    <t>Chennai</t>
  </si>
  <si>
    <t>Kiran</t>
  </si>
  <si>
    <t>Meena</t>
  </si>
  <si>
    <t>Ravi</t>
  </si>
  <si>
    <t>Sales</t>
  </si>
  <si>
    <t>Pune</t>
  </si>
  <si>
    <t>Anitha</t>
  </si>
  <si>
    <t>Vijay</t>
  </si>
  <si>
    <t>Sneha</t>
  </si>
  <si>
    <t>Marketing</t>
  </si>
  <si>
    <t>Mumbai</t>
  </si>
  <si>
    <t>Arjun</t>
  </si>
  <si>
    <t>Row Labels</t>
  </si>
  <si>
    <t>Grand Total</t>
  </si>
  <si>
    <t>Sum of Employee ID</t>
  </si>
  <si>
    <t>Count of Employee ID</t>
  </si>
  <si>
    <t>Sum of Salary</t>
  </si>
  <si>
    <t>Average of Salary</t>
  </si>
  <si>
    <t>AA</t>
  </si>
  <si>
    <t>AB</t>
  </si>
  <si>
    <t>Total Employees</t>
  </si>
  <si>
    <t>Total Salary</t>
  </si>
  <si>
    <t>Average Salary</t>
  </si>
  <si>
    <t>Average Rating</t>
  </si>
  <si>
    <t>TOTAL EMPLOYEES</t>
  </si>
  <si>
    <t>TOTAL SALARY</t>
  </si>
  <si>
    <t>AVERAGE SALARY</t>
  </si>
  <si>
    <t>AVERAGE RATING</t>
  </si>
  <si>
    <t>EMPLOYEE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</si>
</sst>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_ [$₹-4009]\ * #,##0.00_ ;_ [$₹-4009]\ * \-#,##0.00_ ;_ [$₹-4009]\ * &quot;-&quot;??_ ;_ @_ "/>
  </numFmts>
  <fonts count="3" x14ac:knownFonts="1">
    <font>
      <sz val="11"/>
      <color theme="1"/>
      <name val="Calibri"/>
      <family val="2"/>
      <scheme val="minor"/>
    </font>
    <font>
      <b/>
      <sz val="11"/>
      <color theme="1"/>
      <name val="Calibri"/>
      <family val="2"/>
      <scheme val="minor"/>
    </font>
    <font>
      <b/>
      <sz val="20"/>
      <color rgb="FF002060"/>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2" fillId="2" borderId="0" xfId="0" applyFont="1" applyFill="1" applyAlignment="1">
      <alignment horizontal="center"/>
    </xf>
    <xf numFmtId="0" fontId="1" fillId="2" borderId="0" xfId="0" applyFont="1" applyFill="1" applyAlignment="1">
      <alignment horizontal="center"/>
    </xf>
    <xf numFmtId="168" fontId="1" fillId="2" borderId="0" xfId="0" applyNumberFormat="1" applyFont="1" applyFill="1" applyAlignment="1">
      <alignment horizontal="center"/>
    </xf>
    <xf numFmtId="168" fontId="1" fillId="2" borderId="0" xfId="0" applyNumberFormat="1" applyFont="1" applyFill="1" applyAlignment="1"/>
    <xf numFmtId="0" fontId="1" fillId="2" borderId="0" xfId="0" applyFont="1" applyFill="1" applyAlignment="1"/>
    <xf numFmtId="168" fontId="0" fillId="2" borderId="0" xfId="0" applyNumberFormat="1" applyFill="1"/>
  </cellXfs>
  <cellStyles count="1">
    <cellStyle name="Normal" xfId="0" builtinId="0"/>
  </cellStyles>
  <dxfs count="10">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[Employees_data.xlsx]pivot_data!PT_Employesalary</c:name>
    <c:fmtId val="2"/>
  </c:pivotSource>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rPr>
              <a:t>Total Salary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pivot_data!$E$2</c:f>
              <c:strCache>
                <c:ptCount val="1"/>
                <c:pt idx="0">
                  <c:v>Total</c:v>
                </c:pt>
              </c:strCache>
            </c:strRef>
          </c:tx>
          <c:spPr>
            <a:solidFill>
              <a:schemeClr val="accent1"/>
            </a:solidFill>
            <a:ln>
              <a:noFill/>
            </a:ln>
            <a:effectLst/>
          </c:spPr>
          <c:invertIfNegative val="0"/>
          <c:cat>
            <c:strRef>
              <c:f>pivot_data!$D$3:$D$8</c:f>
              <c:strCache>
                <c:ptCount val="5"/>
                <c:pt idx="0">
                  <c:v>Finance</c:v>
                </c:pt>
                <c:pt idx="1">
                  <c:v>HR</c:v>
                </c:pt>
                <c:pt idx="2">
                  <c:v>IT</c:v>
                </c:pt>
                <c:pt idx="3">
                  <c:v>Marketing</c:v>
                </c:pt>
                <c:pt idx="4">
                  <c:v>Sales</c:v>
                </c:pt>
              </c:strCache>
            </c:strRef>
          </c:cat>
          <c:val>
            <c:numRef>
              <c:f>pivot_data!$E$3:$E$8</c:f>
              <c:numCache>
                <c:formatCode>General</c:formatCode>
                <c:ptCount val="5"/>
                <c:pt idx="0">
                  <c:v>115000</c:v>
                </c:pt>
                <c:pt idx="1">
                  <c:v>73000</c:v>
                </c:pt>
                <c:pt idx="2">
                  <c:v>145000</c:v>
                </c:pt>
                <c:pt idx="3">
                  <c:v>41000</c:v>
                </c:pt>
                <c:pt idx="4">
                  <c:v>89000</c:v>
                </c:pt>
              </c:numCache>
            </c:numRef>
          </c:val>
          <c:extLst>
            <c:ext xmlns:c16="http://schemas.microsoft.com/office/drawing/2014/chart" uri="{C3380CC4-5D6E-409C-BE32-E72D297353CC}">
              <c16:uniqueId val="{00000000-BF80-4C0A-A6EE-907B829A7AD1}"/>
            </c:ext>
          </c:extLst>
        </c:ser>
        <c:dLbls>
          <c:showLegendKey val="0"/>
          <c:showVal val="0"/>
          <c:showCatName val="0"/>
          <c:showSerName val="0"/>
          <c:showPercent val="0"/>
          <c:showBubbleSize val="0"/>
        </c:dLbls>
        <c:gapWidth val="219"/>
        <c:overlap val="-27"/>
        <c:axId val="523756400"/>
        <c:axId val="359147440"/>
      </c:barChart>
      <c:catAx>
        <c:axId val="52375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47440"/>
        <c:crosses val="autoZero"/>
        <c:auto val="1"/>
        <c:lblAlgn val="ctr"/>
        <c:lblOffset val="100"/>
        <c:noMultiLvlLbl val="0"/>
      </c:catAx>
      <c:valAx>
        <c:axId val="35914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[Employees_data.xlsx]pivot_data!PT_Averagesalary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Average</a:t>
            </a:r>
            <a:r>
              <a:rPr lang="en-US" b="1" baseline="0">
                <a:solidFill>
                  <a:schemeClr val="accent6">
                    <a:lumMod val="50000"/>
                  </a:schemeClr>
                </a:solidFill>
              </a:rPr>
              <a:t> Salary by Department</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pivot_data!$I$1</c:f>
              <c:strCache>
                <c:ptCount val="1"/>
                <c:pt idx="0">
                  <c:v>Total</c:v>
                </c:pt>
              </c:strCache>
            </c:strRef>
          </c:tx>
          <c:spPr>
            <a:solidFill>
              <a:schemeClr val="accent1"/>
            </a:solidFill>
            <a:ln>
              <a:noFill/>
            </a:ln>
            <a:effectLst/>
          </c:spPr>
          <c:invertIfNegative val="0"/>
          <c:cat>
            <c:strRef>
              <c:f>pivot_data!$H$2:$H$7</c:f>
              <c:strCache>
                <c:ptCount val="5"/>
                <c:pt idx="0">
                  <c:v>Finance</c:v>
                </c:pt>
                <c:pt idx="1">
                  <c:v>HR</c:v>
                </c:pt>
                <c:pt idx="2">
                  <c:v>IT</c:v>
                </c:pt>
                <c:pt idx="3">
                  <c:v>Marketing</c:v>
                </c:pt>
                <c:pt idx="4">
                  <c:v>Sales</c:v>
                </c:pt>
              </c:strCache>
            </c:strRef>
          </c:cat>
          <c:val>
            <c:numRef>
              <c:f>pivot_data!$I$2:$I$7</c:f>
              <c:numCache>
                <c:formatCode>General</c:formatCode>
                <c:ptCount val="5"/>
                <c:pt idx="0">
                  <c:v>57500</c:v>
                </c:pt>
                <c:pt idx="1">
                  <c:v>36500</c:v>
                </c:pt>
                <c:pt idx="2">
                  <c:v>48333.333333333336</c:v>
                </c:pt>
                <c:pt idx="3">
                  <c:v>41000</c:v>
                </c:pt>
                <c:pt idx="4">
                  <c:v>44500</c:v>
                </c:pt>
              </c:numCache>
            </c:numRef>
          </c:val>
          <c:extLst>
            <c:ext xmlns:c16="http://schemas.microsoft.com/office/drawing/2014/chart" uri="{C3380CC4-5D6E-409C-BE32-E72D297353CC}">
              <c16:uniqueId val="{00000000-0EB6-4E0B-9EEB-6878FB158DAE}"/>
            </c:ext>
          </c:extLst>
        </c:ser>
        <c:dLbls>
          <c:showLegendKey val="0"/>
          <c:showVal val="0"/>
          <c:showCatName val="0"/>
          <c:showSerName val="0"/>
          <c:showPercent val="0"/>
          <c:showBubbleSize val="0"/>
        </c:dLbls>
        <c:gapWidth val="219"/>
        <c:overlap val="-27"/>
        <c:axId val="523564768"/>
        <c:axId val="359120080"/>
      </c:barChart>
      <c:catAx>
        <c:axId val="52356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20080"/>
        <c:crosses val="autoZero"/>
        <c:auto val="1"/>
        <c:lblAlgn val="ctr"/>
        <c:lblOffset val="100"/>
        <c:noMultiLvlLbl val="0"/>
      </c:catAx>
      <c:valAx>
        <c:axId val="35912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56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[Employees_data.xlsx]pivot_data!PT_EMployees_city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Employee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pivot_data!$M$1</c:f>
              <c:strCache>
                <c:ptCount val="1"/>
                <c:pt idx="0">
                  <c:v>Total</c:v>
                </c:pt>
              </c:strCache>
            </c:strRef>
          </c:tx>
          <c:spPr>
            <a:solidFill>
              <a:schemeClr val="accent1"/>
            </a:solidFill>
            <a:ln>
              <a:noFill/>
            </a:ln>
            <a:effectLst/>
          </c:spPr>
          <c:invertIfNegative val="0"/>
          <c:cat>
            <c:strRef>
              <c:f>pivot_data!$L$2:$L$7</c:f>
              <c:strCache>
                <c:ptCount val="5"/>
                <c:pt idx="0">
                  <c:v>Bangalore</c:v>
                </c:pt>
                <c:pt idx="1">
                  <c:v>Chennai</c:v>
                </c:pt>
                <c:pt idx="2">
                  <c:v>Hyderabad</c:v>
                </c:pt>
                <c:pt idx="3">
                  <c:v>Mumbai</c:v>
                </c:pt>
                <c:pt idx="4">
                  <c:v>Pune</c:v>
                </c:pt>
              </c:strCache>
            </c:strRef>
          </c:cat>
          <c:val>
            <c:numRef>
              <c:f>pivot_data!$M$2:$M$7</c:f>
              <c:numCache>
                <c:formatCode>General</c:formatCode>
                <c:ptCount val="5"/>
                <c:pt idx="0">
                  <c:v>313</c:v>
                </c:pt>
                <c:pt idx="1">
                  <c:v>210</c:v>
                </c:pt>
                <c:pt idx="2">
                  <c:v>207</c:v>
                </c:pt>
                <c:pt idx="3">
                  <c:v>109</c:v>
                </c:pt>
                <c:pt idx="4">
                  <c:v>216</c:v>
                </c:pt>
              </c:numCache>
            </c:numRef>
          </c:val>
          <c:extLst>
            <c:ext xmlns:c16="http://schemas.microsoft.com/office/drawing/2014/chart" uri="{C3380CC4-5D6E-409C-BE32-E72D297353CC}">
              <c16:uniqueId val="{00000000-8911-48E8-ACB7-4FC769FFF701}"/>
            </c:ext>
          </c:extLst>
        </c:ser>
        <c:dLbls>
          <c:showLegendKey val="0"/>
          <c:showVal val="0"/>
          <c:showCatName val="0"/>
          <c:showSerName val="0"/>
          <c:showPercent val="0"/>
          <c:showBubbleSize val="0"/>
        </c:dLbls>
        <c:gapWidth val="219"/>
        <c:overlap val="-27"/>
        <c:axId val="523679376"/>
        <c:axId val="359140240"/>
      </c:barChart>
      <c:catAx>
        <c:axId val="52367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40240"/>
        <c:crosses val="autoZero"/>
        <c:auto val="1"/>
        <c:lblAlgn val="ctr"/>
        <c:lblOffset val="100"/>
        <c:noMultiLvlLbl val="0"/>
      </c:catAx>
      <c:valAx>
        <c:axId val="35914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7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[Employees_data.xlsx]pivot_data!PivotTable8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Employee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pivot_data!$P$1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52-41C9-9CC3-00E4CA4FB3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52-41C9-9CC3-00E4CA4FB332}"/>
              </c:ext>
            </c:extLst>
          </c:dPt>
          <c:cat>
            <c:strRef>
              <c:f>pivot_data!$O$2:$O$4</c:f>
              <c:strCache>
                <c:ptCount val="2"/>
                <c:pt idx="0">
                  <c:v>Female</c:v>
                </c:pt>
                <c:pt idx="1">
                  <c:v>Male</c:v>
                </c:pt>
              </c:strCache>
            </c:strRef>
          </c:cat>
          <c:val>
            <c:numRef>
              <c:f>pivot_data!$P$2:$P$4</c:f>
              <c:numCache>
                <c:formatCode>General</c:formatCode>
                <c:ptCount val="2"/>
                <c:pt idx="0">
                  <c:v>4</c:v>
                </c:pt>
                <c:pt idx="1">
                  <c:v>6</c:v>
                </c:pt>
              </c:numCache>
            </c:numRef>
          </c:val>
          <c:extLst>
            <c:ext xmlns:c16="http://schemas.microsoft.com/office/drawing/2014/chart" uri="{C3380CC4-5D6E-409C-BE32-E72D297353CC}">
              <c16:uniqueId val="{00000004-6152-41C9-9CC3-00E4CA4FB3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[Employees_data.xlsx]pivot_data!PT_EmployeeCount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6">
                    <a:lumMod val="50000"/>
                  </a:schemeClr>
                </a:solidFill>
              </a:rPr>
              <a:t>Employees</a:t>
            </a:r>
            <a:r>
              <a:rPr lang="en-IN" b="1" baseline="0">
                <a:solidFill>
                  <a:schemeClr val="accent6">
                    <a:lumMod val="50000"/>
                  </a:schemeClr>
                </a:solidFill>
              </a:rPr>
              <a:t> by Department</a:t>
            </a:r>
            <a:endParaRPr lang="en-IN"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pivot_data!$B$1</c:f>
              <c:strCache>
                <c:ptCount val="1"/>
                <c:pt idx="0">
                  <c:v>Total</c:v>
                </c:pt>
              </c:strCache>
            </c:strRef>
          </c:tx>
          <c:spPr>
            <a:solidFill>
              <a:schemeClr val="accent1"/>
            </a:solidFill>
            <a:ln>
              <a:noFill/>
            </a:ln>
            <a:effectLst/>
          </c:spPr>
          <c:invertIfNegative val="0"/>
          <c:cat>
            <c:strRef>
              <c:f>pivot_data!$A$2:$A$7</c:f>
              <c:strCache>
                <c:ptCount val="5"/>
                <c:pt idx="0">
                  <c:v>Finance</c:v>
                </c:pt>
                <c:pt idx="1">
                  <c:v>HR</c:v>
                </c:pt>
                <c:pt idx="2">
                  <c:v>IT</c:v>
                </c:pt>
                <c:pt idx="3">
                  <c:v>Marketing</c:v>
                </c:pt>
                <c:pt idx="4">
                  <c:v>Sales</c:v>
                </c:pt>
              </c:strCache>
            </c:strRef>
          </c:cat>
          <c:val>
            <c:numRef>
              <c:f>pivot_data!$B$2:$B$7</c:f>
              <c:numCache>
                <c:formatCode>General</c:formatCode>
                <c:ptCount val="5"/>
                <c:pt idx="0">
                  <c:v>2</c:v>
                </c:pt>
                <c:pt idx="1">
                  <c:v>2</c:v>
                </c:pt>
                <c:pt idx="2">
                  <c:v>3</c:v>
                </c:pt>
                <c:pt idx="3">
                  <c:v>1</c:v>
                </c:pt>
                <c:pt idx="4">
                  <c:v>2</c:v>
                </c:pt>
              </c:numCache>
            </c:numRef>
          </c:val>
          <c:extLst>
            <c:ext xmlns:c16="http://schemas.microsoft.com/office/drawing/2014/chart" uri="{C3380CC4-5D6E-409C-BE32-E72D297353CC}">
              <c16:uniqueId val="{00000000-6197-4859-9E10-CF6D8E031471}"/>
            </c:ext>
          </c:extLst>
        </c:ser>
        <c:dLbls>
          <c:showLegendKey val="0"/>
          <c:showVal val="0"/>
          <c:showCatName val="0"/>
          <c:showSerName val="0"/>
          <c:showPercent val="0"/>
          <c:showBubbleSize val="0"/>
        </c:dLbls>
        <c:gapWidth val="219"/>
        <c:overlap val="-27"/>
        <c:axId val="523739232"/>
        <c:axId val="359106160"/>
      </c:barChart>
      <c:catAx>
        <c:axId val="52373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06160"/>
        <c:crosses val="autoZero"/>
        <c:auto val="1"/>
        <c:lblAlgn val="ctr"/>
        <c:lblOffset val="100"/>
        <c:noMultiLvlLbl val="0"/>
      </c:catAx>
      <c:valAx>
        <c:axId val="35910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3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403231</xdr:colOff>
      <xdr:row>5</xdr:row>
      <xdr:rowOff>114993</xdr:rowOff>
    </xdr:from>
    <xdr:to>
      <xdr:col>5</xdr:col>
      <xdr:colOff>252090</xdr:colOff>
      <xdr:row>16</xdr:row>
      <xdr:rowOff>98368</xdr:rowOff>
    </xdr:to>
    <xdr:graphicFrame macro="">
      <xdr:nvGraphicFramePr>
        <xdr:cNvPr id="2" name="Chart 1">
          <a:extLst>
            <a:ext uri="{FF2B5EF4-FFF2-40B4-BE49-F238E27FC236}">
              <a16:creationId xmlns:a16="http://schemas.microsoft.com/office/drawing/2014/main" id="{4ECCFCD2-A2DC-9B62-B697-CDDF127CD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466005</xdr:colOff>
      <xdr:row>5</xdr:row>
      <xdr:rowOff>133098</xdr:rowOff>
    </xdr:from>
    <xdr:to>
      <xdr:col>10</xdr:col>
      <xdr:colOff>417915</xdr:colOff>
      <xdr:row>16</xdr:row>
      <xdr:rowOff>42162</xdr:rowOff>
    </xdr:to>
    <xdr:graphicFrame macro="">
      <xdr:nvGraphicFramePr>
        <xdr:cNvPr id="3" name="Chart 2">
          <a:extLst>
            <a:ext uri="{FF2B5EF4-FFF2-40B4-BE49-F238E27FC236}">
              <a16:creationId xmlns:a16="http://schemas.microsoft.com/office/drawing/2014/main" id="{67DB492C-BAE3-61D6-0CAD-3C627601B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78278</xdr:colOff>
      <xdr:row>5</xdr:row>
      <xdr:rowOff>133696</xdr:rowOff>
    </xdr:from>
    <xdr:to>
      <xdr:col>15</xdr:col>
      <xdr:colOff>577042</xdr:colOff>
      <xdr:row>16</xdr:row>
      <xdr:rowOff>33944</xdr:rowOff>
    </xdr:to>
    <xdr:graphicFrame macro="">
      <xdr:nvGraphicFramePr>
        <xdr:cNvPr id="4" name="Chart 3">
          <a:extLst>
            <a:ext uri="{FF2B5EF4-FFF2-40B4-BE49-F238E27FC236}">
              <a16:creationId xmlns:a16="http://schemas.microsoft.com/office/drawing/2014/main" id="{83C5F94A-AD28-0917-28E1-65289CB69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373781</xdr:colOff>
      <xdr:row>17</xdr:row>
      <xdr:rowOff>93225</xdr:rowOff>
    </xdr:from>
    <xdr:to>
      <xdr:col>7</xdr:col>
      <xdr:colOff>281540</xdr:colOff>
      <xdr:row>26</xdr:row>
      <xdr:rowOff>150616</xdr:rowOff>
    </xdr:to>
    <xdr:graphicFrame macro="">
      <xdr:nvGraphicFramePr>
        <xdr:cNvPr id="5" name="Chart 4">
          <a:extLst>
            <a:ext uri="{FF2B5EF4-FFF2-40B4-BE49-F238E27FC236}">
              <a16:creationId xmlns:a16="http://schemas.microsoft.com/office/drawing/2014/main" id="{FF41C006-7F1D-DE1B-04A8-22D8B6CA1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203634</xdr:colOff>
      <xdr:row>5</xdr:row>
      <xdr:rowOff>114739</xdr:rowOff>
    </xdr:from>
    <xdr:to>
      <xdr:col>20</xdr:col>
      <xdr:colOff>604087</xdr:colOff>
      <xdr:row>15</xdr:row>
      <xdr:rowOff>159581</xdr:rowOff>
    </xdr:to>
    <xdr:graphicFrame macro="">
      <xdr:nvGraphicFramePr>
        <xdr:cNvPr id="6" name="Chart 5">
          <a:extLst>
            <a:ext uri="{FF2B5EF4-FFF2-40B4-BE49-F238E27FC236}">
              <a16:creationId xmlns:a16="http://schemas.microsoft.com/office/drawing/2014/main" id="{3D936731-1336-64D7-5C37-998FCD196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403860</xdr:colOff>
      <xdr:row>17</xdr:row>
      <xdr:rowOff>25239</xdr:rowOff>
    </xdr:from>
    <xdr:to>
      <xdr:col>15</xdr:col>
      <xdr:colOff>403860</xdr:colOff>
      <xdr:row>26</xdr:row>
      <xdr:rowOff>64296</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81934503-272B-4662-B1BC-314C01C5161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719060" y="3278979"/>
              <a:ext cx="1828800" cy="1684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562558</xdr:colOff>
      <xdr:row>17</xdr:row>
      <xdr:rowOff>50478</xdr:rowOff>
    </xdr:from>
    <xdr:to>
      <xdr:col>11</xdr:col>
      <xdr:colOff>245163</xdr:colOff>
      <xdr:row>26</xdr:row>
      <xdr:rowOff>89535</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B636E05E-D8C7-4BE5-9F35-1044A6263BD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439358" y="3304218"/>
              <a:ext cx="1511405" cy="1684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601980</xdr:colOff>
      <xdr:row>4</xdr:row>
      <xdr:rowOff>76200</xdr:rowOff>
    </xdr:from>
    <xdr:to>
      <xdr:col>7</xdr:col>
      <xdr:colOff>350520</xdr:colOff>
      <xdr:row>17</xdr:row>
      <xdr:rowOff>165735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94F15653-A32A-9678-BB0B-75031E1070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27482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07" refreshedDate="46247.943122685188" createdVersion="8" refreshedVersion="8" minRefreshableVersion="3" recordCount="10" xr:uid="{8A37C7EC-8DDD-462E-9EC8-34E4B023D4E3}">
  <cacheSource type="worksheet">
    <worksheetSource name="Employeedata"/>
  </cacheSource>
  <cacheFields count="8">
    <cacheField name="Employee ID" numFmtId="0">
      <sharedItems containsSemiMixedTypes="0" containsString="0" containsNumber="1" containsInteger="1" minValue="101" maxValue="110"/>
    </cacheField>
    <cacheField name="Name" numFmtId="0">
      <sharedItems/>
    </cacheField>
    <cacheField name="Gender" numFmtId="0">
      <sharedItems count="2">
        <s v="Male"/>
        <s v="Female"/>
      </sharedItems>
    </cacheField>
    <cacheField name="Department" numFmtId="0">
      <sharedItems count="5">
        <s v="IT"/>
        <s v="HR"/>
        <s v="Finance"/>
        <s v="Sales"/>
        <s v="Marketing"/>
      </sharedItems>
    </cacheField>
    <cacheField name="City" numFmtId="0">
      <sharedItems count="5">
        <s v="Bangalore"/>
        <s v="Hyderabad"/>
        <s v="Chennai"/>
        <s v="Pune"/>
        <s v="Mumbai"/>
      </sharedItems>
    </cacheField>
    <cacheField name="Salary" numFmtId="0">
      <sharedItems containsSemiMixedTypes="0" containsString="0" containsNumber="1" containsInteger="1" minValue="35000" maxValue="60000"/>
    </cacheField>
    <cacheField name="Experience" numFmtId="0">
      <sharedItems containsSemiMixedTypes="0" containsString="0" containsNumber="1" containsInteger="1" minValue="2" maxValue="6"/>
    </cacheField>
    <cacheField name="Rating" numFmtId="0">
      <sharedItems containsSemiMixedTypes="0" containsString="0" containsNumber="1" containsInteger="1" minValue="3" maxValue="5"/>
    </cacheField>
  </cacheFields>
  <extLst>
    <ext xmlns:x14="http://schemas.microsoft.com/office/spreadsheetml/2009/9/main" uri="{725AE2AE-9491-48be-B2B4-4EB974FC3084}">
      <x14:pivotCacheDefinition pivotCacheId="1827960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1"/>
    <s v="Sunil"/>
    <x v="0"/>
    <x v="0"/>
    <x v="0"/>
    <n v="45000"/>
    <n v="2"/>
    <n v="4"/>
  </r>
  <r>
    <n v="102"/>
    <s v="Rahul"/>
    <x v="0"/>
    <x v="1"/>
    <x v="1"/>
    <n v="35000"/>
    <n v="3"/>
    <n v="3"/>
  </r>
  <r>
    <n v="103"/>
    <s v="Priya"/>
    <x v="1"/>
    <x v="2"/>
    <x v="2"/>
    <n v="55000"/>
    <n v="5"/>
    <n v="5"/>
  </r>
  <r>
    <n v="104"/>
    <s v="Kiran"/>
    <x v="0"/>
    <x v="0"/>
    <x v="0"/>
    <n v="48000"/>
    <n v="4"/>
    <n v="4"/>
  </r>
  <r>
    <n v="105"/>
    <s v="Meena"/>
    <x v="1"/>
    <x v="1"/>
    <x v="1"/>
    <n v="38000"/>
    <n v="2"/>
    <n v="4"/>
  </r>
  <r>
    <n v="106"/>
    <s v="Ravi"/>
    <x v="0"/>
    <x v="3"/>
    <x v="3"/>
    <n v="42000"/>
    <n v="3"/>
    <n v="3"/>
  </r>
  <r>
    <n v="107"/>
    <s v="Anitha"/>
    <x v="1"/>
    <x v="2"/>
    <x v="2"/>
    <n v="60000"/>
    <n v="6"/>
    <n v="5"/>
  </r>
  <r>
    <n v="108"/>
    <s v="Vijay"/>
    <x v="0"/>
    <x v="0"/>
    <x v="0"/>
    <n v="52000"/>
    <n v="5"/>
    <n v="4"/>
  </r>
  <r>
    <n v="109"/>
    <s v="Sneha"/>
    <x v="1"/>
    <x v="4"/>
    <x v="4"/>
    <n v="41000"/>
    <n v="3"/>
    <n v="4"/>
  </r>
  <r>
    <n v="110"/>
    <s v="Arjun"/>
    <x v="0"/>
    <x v="3"/>
    <x v="3"/>
    <n v="47000"/>
    <n v="4"/>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8A365D-A2DA-4177-937A-49C59B212582}"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1:P4" firstHeaderRow="1" firstDataRow="1" firstDataCol="1"/>
  <pivotFields count="8">
    <pivotField dataField="1" showAll="0"/>
    <pivotField showAll="0"/>
    <pivotField axis="axisRow" showAll="0">
      <items count="3">
        <item x="1"/>
        <item x="0"/>
        <item t="default"/>
      </items>
    </pivotField>
    <pivotField showAll="0">
      <items count="6">
        <item x="2"/>
        <item x="1"/>
        <item x="0"/>
        <item x="4"/>
        <item x="3"/>
        <item t="default"/>
      </items>
    </pivotField>
    <pivotField showAll="0">
      <items count="6">
        <item x="0"/>
        <item x="2"/>
        <item x="1"/>
        <item x="4"/>
        <item x="3"/>
        <item t="default"/>
      </items>
    </pivotField>
    <pivotField showAll="0"/>
    <pivotField showAll="0"/>
    <pivotField showAll="0"/>
  </pivotFields>
  <rowFields count="1">
    <field x="2"/>
  </rowFields>
  <rowItems count="3">
    <i>
      <x/>
    </i>
    <i>
      <x v="1"/>
    </i>
    <i t="grand">
      <x/>
    </i>
  </rowItems>
  <colItems count="1">
    <i/>
  </colItems>
  <dataFields count="1">
    <dataField name="Count of Employee ID" fld="0" subtotal="count" baseField="2"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2D39C6-1BC2-46A1-AEDC-92FC01CF663E}" name="PT_EMployees_city"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M7" firstHeaderRow="1" firstDataRow="1" firstDataCol="1"/>
  <pivotFields count="8">
    <pivotField dataField="1" showAll="0"/>
    <pivotField showAll="0"/>
    <pivotField showAll="0"/>
    <pivotField showAll="0">
      <items count="6">
        <item x="2"/>
        <item x="1"/>
        <item x="0"/>
        <item x="4"/>
        <item x="3"/>
        <item t="default"/>
      </items>
    </pivotField>
    <pivotField axis="axisRow" showAll="0">
      <items count="6">
        <item x="0"/>
        <item x="2"/>
        <item x="1"/>
        <item x="4"/>
        <item x="3"/>
        <item t="default"/>
      </items>
    </pivotField>
    <pivotField showAll="0"/>
    <pivotField showAll="0"/>
    <pivotField showAll="0"/>
  </pivotFields>
  <rowFields count="1">
    <field x="4"/>
  </rowFields>
  <rowItems count="6">
    <i>
      <x/>
    </i>
    <i>
      <x v="1"/>
    </i>
    <i>
      <x v="2"/>
    </i>
    <i>
      <x v="3"/>
    </i>
    <i>
      <x v="4"/>
    </i>
    <i t="grand">
      <x/>
    </i>
  </rowItems>
  <colItems count="1">
    <i/>
  </colItems>
  <dataFields count="1">
    <dataField name="Sum of Employee ID" fld="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EEE5E1-4E06-42A3-81D7-61E0F889760B}" name="PT_Averagesalary"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I7" firstHeaderRow="1" firstDataRow="1" firstDataCol="1"/>
  <pivotFields count="8">
    <pivotField showAll="0"/>
    <pivotField showAll="0"/>
    <pivotField showAll="0"/>
    <pivotField axis="axisRow" showAll="0">
      <items count="6">
        <item x="2"/>
        <item x="1"/>
        <item x="0"/>
        <item x="4"/>
        <item x="3"/>
        <item t="default"/>
      </items>
    </pivotField>
    <pivotField showAll="0">
      <items count="6">
        <item x="0"/>
        <item x="2"/>
        <item x="1"/>
        <item x="4"/>
        <item x="3"/>
        <item t="default"/>
      </items>
    </pivotField>
    <pivotField dataField="1" showAll="0"/>
    <pivotField showAll="0"/>
    <pivotField showAll="0"/>
  </pivotFields>
  <rowFields count="1">
    <field x="3"/>
  </rowFields>
  <rowItems count="6">
    <i>
      <x/>
    </i>
    <i>
      <x v="1"/>
    </i>
    <i>
      <x v="2"/>
    </i>
    <i>
      <x v="3"/>
    </i>
    <i>
      <x v="4"/>
    </i>
    <i t="grand">
      <x/>
    </i>
  </rowItems>
  <colItems count="1">
    <i/>
  </colItems>
  <dataFields count="1">
    <dataField name="Average of Salary" fld="5" subtotal="average" baseField="3"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803886-D21A-4688-A122-C28F4A6DF5E4}" name="PT_Employesalary"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8" firstHeaderRow="1" firstDataRow="1" firstDataCol="1"/>
  <pivotFields count="8">
    <pivotField showAll="0"/>
    <pivotField showAll="0"/>
    <pivotField showAll="0"/>
    <pivotField axis="axisRow" showAll="0">
      <items count="6">
        <item x="2"/>
        <item x="1"/>
        <item x="0"/>
        <item x="4"/>
        <item x="3"/>
        <item t="default"/>
      </items>
    </pivotField>
    <pivotField showAll="0">
      <items count="6">
        <item x="0"/>
        <item x="2"/>
        <item x="1"/>
        <item x="4"/>
        <item x="3"/>
        <item t="default"/>
      </items>
    </pivotField>
    <pivotField dataField="1" showAll="0"/>
    <pivotField showAll="0"/>
    <pivotField showAll="0"/>
  </pivotFields>
  <rowFields count="1">
    <field x="3"/>
  </rowFields>
  <rowItems count="6">
    <i>
      <x/>
    </i>
    <i>
      <x v="1"/>
    </i>
    <i>
      <x v="2"/>
    </i>
    <i>
      <x v="3"/>
    </i>
    <i>
      <x v="4"/>
    </i>
    <i t="grand">
      <x/>
    </i>
  </rowItems>
  <colItems count="1">
    <i/>
  </colItems>
  <dataFields count="1">
    <dataField name="Sum of Salary" fld="5"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6E332E-57D2-4598-9EF3-75C6FC08BEB3}" name="PT_EmployeeCount"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8">
    <pivotField dataField="1" showAll="0"/>
    <pivotField showAll="0"/>
    <pivotField showAll="0">
      <items count="3">
        <item x="1"/>
        <item x="0"/>
        <item t="default"/>
      </items>
    </pivotField>
    <pivotField axis="axisRow" showAll="0">
      <items count="6">
        <item x="2"/>
        <item x="1"/>
        <item x="0"/>
        <item x="4"/>
        <item x="3"/>
        <item t="default"/>
      </items>
    </pivotField>
    <pivotField showAll="0">
      <items count="6">
        <item x="0"/>
        <item x="2"/>
        <item x="1"/>
        <item x="4"/>
        <item x="3"/>
        <item t="default"/>
      </items>
    </pivotField>
    <pivotField showAll="0"/>
    <pivotField showAll="0"/>
    <pivotField showAll="0"/>
  </pivotFields>
  <rowFields count="1">
    <field x="3"/>
  </rowFields>
  <rowItems count="6">
    <i>
      <x/>
    </i>
    <i>
      <x v="1"/>
    </i>
    <i>
      <x v="2"/>
    </i>
    <i>
      <x v="3"/>
    </i>
    <i>
      <x v="4"/>
    </i>
    <i t="grand">
      <x/>
    </i>
  </rowItems>
  <colItems count="1">
    <i/>
  </colItems>
  <dataFields count="1">
    <dataField name="Count of Employee ID" fld="0" subtotal="count" baseField="3"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1388F68-5156-476B-9470-00503BD20390}" sourceName="Gender">
  <pivotTables>
    <pivotTable tabId="4" name="PT_EmployeeCount"/>
  </pivotTables>
  <data>
    <tabular pivotCacheId="182796032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8F9ED18-0987-4432-A35B-910DFC8CE982}" sourceName="City">
  <pivotTables>
    <pivotTable tabId="4" name="PT_EmployeeCount"/>
    <pivotTable tabId="4" name="PivotTable8"/>
    <pivotTable tabId="4" name="PT_Averagesalary"/>
    <pivotTable tabId="4" name="PT_EMployees_city"/>
    <pivotTable tabId="4" name="PT_Employesalary"/>
  </pivotTables>
  <data>
    <tabular pivotCacheId="1827960320">
      <items count="5">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DA62CE6-FE9D-4456-B971-722ADDE38D43}" sourceName="Department">
  <pivotTables>
    <pivotTable tabId="4" name="PT_EmployeeCount"/>
    <pivotTable tabId="4" name="PivotTable8"/>
    <pivotTable tabId="4" name="PT_Averagesalary"/>
    <pivotTable tabId="4" name="PT_EMployees_city"/>
    <pivotTable tabId="4" name="PT_Employesalary"/>
  </pivotTables>
  <data>
    <tabular pivotCacheId="1827960320">
      <items count="5">
        <i x="2" s="1"/>
        <i x="1"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FF2E669-D817-4807-BD4D-84506C5A5551}" cache="Slicer_City" caption="City" rowHeight="234950"/>
  <slicer name="Department" xr10:uid="{30C1DD6A-139C-4805-ABFE-2ACEB28278BE}"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556737D-C355-44D4-A350-17B8920C42DD}"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3D4FC5-650E-429F-9351-169A2FCDF2B6}" name="Employeedata" displayName="Employeedata" ref="A1:H11" totalsRowShown="0" headerRowDxfId="0" dataDxfId="1">
  <autoFilter ref="A1:H11" xr:uid="{BD3D4FC5-650E-429F-9351-169A2FCDF2B6}"/>
  <tableColumns count="8">
    <tableColumn id="1" xr3:uid="{689212EA-42EF-4B14-99E4-6578C46A1432}" name="Employee ID" dataDxfId="9"/>
    <tableColumn id="2" xr3:uid="{5B5E845F-A6A3-4339-A8AC-95F10FF8EFE1}" name="Name" dataDxfId="8"/>
    <tableColumn id="3" xr3:uid="{D985F9B2-97CE-4F69-8B5D-E65D5416C023}" name="Gender" dataDxfId="7"/>
    <tableColumn id="4" xr3:uid="{28D231C0-D7F1-4DCA-8E42-99B4EC51CC05}" name="Department" dataDxfId="6"/>
    <tableColumn id="5" xr3:uid="{0C61F1F8-A385-4BEF-9FBB-A8C2A1910387}" name="City" dataDxfId="5"/>
    <tableColumn id="6" xr3:uid="{D8BC52D1-0346-4C76-B4A2-A871267A325C}" name="Salary" dataDxfId="4"/>
    <tableColumn id="7" xr3:uid="{7B6886BF-E4BF-4462-A3E1-8DF94D333877}" name="Experience" dataDxfId="3"/>
    <tableColumn id="8" xr3:uid="{26E0CBB7-B941-4656-B2A9-EE8C28303513}" name="Rating"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E3FA5-1106-4189-9221-DB7BDCC09FF7}">
  <dimension ref="A1:H11"/>
  <sheetViews>
    <sheetView workbookViewId="0"/>
  </sheetViews>
  <sheetFormatPr defaultRowHeight="14.4" x14ac:dyDescent="0.3"/>
  <cols>
    <col min="1" max="1" width="17.33203125" customWidth="1"/>
    <col min="3" max="3" width="9" customWidth="1"/>
    <col min="4" max="4" width="13" customWidth="1"/>
    <col min="7" max="7" width="12" customWidth="1"/>
  </cols>
  <sheetData>
    <row r="1" spans="1:8" x14ac:dyDescent="0.3">
      <c r="A1" s="3" t="s">
        <v>0</v>
      </c>
      <c r="B1" s="3" t="s">
        <v>1</v>
      </c>
      <c r="C1" s="3" t="s">
        <v>2</v>
      </c>
      <c r="D1" s="3" t="s">
        <v>3</v>
      </c>
      <c r="E1" s="3" t="s">
        <v>4</v>
      </c>
      <c r="F1" s="2" t="s">
        <v>5</v>
      </c>
      <c r="G1" s="2" t="s">
        <v>6</v>
      </c>
      <c r="H1" s="2" t="s">
        <v>7</v>
      </c>
    </row>
    <row r="2" spans="1:8" ht="28.8" x14ac:dyDescent="0.3">
      <c r="A2" s="1">
        <v>101</v>
      </c>
      <c r="B2" s="4" t="s">
        <v>8</v>
      </c>
      <c r="C2" s="4" t="s">
        <v>9</v>
      </c>
      <c r="D2" s="4" t="s">
        <v>10</v>
      </c>
      <c r="E2" s="4" t="s">
        <v>11</v>
      </c>
      <c r="F2" s="1">
        <v>45000</v>
      </c>
      <c r="G2" s="1">
        <v>2</v>
      </c>
      <c r="H2" s="1">
        <v>4</v>
      </c>
    </row>
    <row r="3" spans="1:8" ht="28.8" x14ac:dyDescent="0.3">
      <c r="A3" s="1">
        <v>102</v>
      </c>
      <c r="B3" s="4" t="s">
        <v>12</v>
      </c>
      <c r="C3" s="4" t="s">
        <v>9</v>
      </c>
      <c r="D3" s="4" t="s">
        <v>13</v>
      </c>
      <c r="E3" s="4" t="s">
        <v>14</v>
      </c>
      <c r="F3" s="1">
        <v>35000</v>
      </c>
      <c r="G3" s="1">
        <v>3</v>
      </c>
      <c r="H3" s="1">
        <v>3</v>
      </c>
    </row>
    <row r="4" spans="1:8" x14ac:dyDescent="0.3">
      <c r="A4" s="1">
        <v>103</v>
      </c>
      <c r="B4" s="4" t="s">
        <v>15</v>
      </c>
      <c r="C4" s="4" t="s">
        <v>16</v>
      </c>
      <c r="D4" s="4" t="s">
        <v>17</v>
      </c>
      <c r="E4" s="4" t="s">
        <v>18</v>
      </c>
      <c r="F4" s="1">
        <v>55000</v>
      </c>
      <c r="G4" s="1">
        <v>5</v>
      </c>
      <c r="H4" s="1">
        <v>5</v>
      </c>
    </row>
    <row r="5" spans="1:8" ht="28.8" x14ac:dyDescent="0.3">
      <c r="A5" s="1">
        <v>104</v>
      </c>
      <c r="B5" s="4" t="s">
        <v>19</v>
      </c>
      <c r="C5" s="4" t="s">
        <v>9</v>
      </c>
      <c r="D5" s="4" t="s">
        <v>10</v>
      </c>
      <c r="E5" s="4" t="s">
        <v>11</v>
      </c>
      <c r="F5" s="1">
        <v>48000</v>
      </c>
      <c r="G5" s="1">
        <v>4</v>
      </c>
      <c r="H5" s="1">
        <v>4</v>
      </c>
    </row>
    <row r="6" spans="1:8" ht="28.8" x14ac:dyDescent="0.3">
      <c r="A6" s="1">
        <v>105</v>
      </c>
      <c r="B6" s="4" t="s">
        <v>20</v>
      </c>
      <c r="C6" s="4" t="s">
        <v>16</v>
      </c>
      <c r="D6" s="4" t="s">
        <v>13</v>
      </c>
      <c r="E6" s="4" t="s">
        <v>14</v>
      </c>
      <c r="F6" s="1">
        <v>38000</v>
      </c>
      <c r="G6" s="1">
        <v>2</v>
      </c>
      <c r="H6" s="1">
        <v>4</v>
      </c>
    </row>
    <row r="7" spans="1:8" x14ac:dyDescent="0.3">
      <c r="A7" s="1">
        <v>106</v>
      </c>
      <c r="B7" s="4" t="s">
        <v>21</v>
      </c>
      <c r="C7" s="4" t="s">
        <v>9</v>
      </c>
      <c r="D7" s="4" t="s">
        <v>22</v>
      </c>
      <c r="E7" s="4" t="s">
        <v>23</v>
      </c>
      <c r="F7" s="1">
        <v>42000</v>
      </c>
      <c r="G7" s="1">
        <v>3</v>
      </c>
      <c r="H7" s="1">
        <v>3</v>
      </c>
    </row>
    <row r="8" spans="1:8" x14ac:dyDescent="0.3">
      <c r="A8" s="1">
        <v>107</v>
      </c>
      <c r="B8" s="4" t="s">
        <v>24</v>
      </c>
      <c r="C8" s="4" t="s">
        <v>16</v>
      </c>
      <c r="D8" s="4" t="s">
        <v>17</v>
      </c>
      <c r="E8" s="4" t="s">
        <v>18</v>
      </c>
      <c r="F8" s="1">
        <v>60000</v>
      </c>
      <c r="G8" s="1">
        <v>6</v>
      </c>
      <c r="H8" s="1">
        <v>5</v>
      </c>
    </row>
    <row r="9" spans="1:8" ht="28.8" x14ac:dyDescent="0.3">
      <c r="A9" s="1">
        <v>108</v>
      </c>
      <c r="B9" s="4" t="s">
        <v>25</v>
      </c>
      <c r="C9" s="4" t="s">
        <v>9</v>
      </c>
      <c r="D9" s="4" t="s">
        <v>10</v>
      </c>
      <c r="E9" s="4" t="s">
        <v>11</v>
      </c>
      <c r="F9" s="1">
        <v>52000</v>
      </c>
      <c r="G9" s="1">
        <v>5</v>
      </c>
      <c r="H9" s="1">
        <v>4</v>
      </c>
    </row>
    <row r="10" spans="1:8" ht="28.8" x14ac:dyDescent="0.3">
      <c r="A10" s="1">
        <v>109</v>
      </c>
      <c r="B10" s="4" t="s">
        <v>26</v>
      </c>
      <c r="C10" s="4" t="s">
        <v>16</v>
      </c>
      <c r="D10" s="4" t="s">
        <v>27</v>
      </c>
      <c r="E10" s="4" t="s">
        <v>28</v>
      </c>
      <c r="F10" s="1">
        <v>41000</v>
      </c>
      <c r="G10" s="1">
        <v>3</v>
      </c>
      <c r="H10" s="1">
        <v>4</v>
      </c>
    </row>
    <row r="11" spans="1:8" x14ac:dyDescent="0.3">
      <c r="A11" s="1">
        <v>110</v>
      </c>
      <c r="B11" s="4" t="s">
        <v>29</v>
      </c>
      <c r="C11" s="4" t="s">
        <v>9</v>
      </c>
      <c r="D11" s="4" t="s">
        <v>22</v>
      </c>
      <c r="E11" s="4" t="s">
        <v>23</v>
      </c>
      <c r="F11" s="1">
        <v>47000</v>
      </c>
      <c r="G11" s="1">
        <v>4</v>
      </c>
      <c r="H11" s="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2656-453C-4251-8D7A-E7FDFD855E38}">
  <dimension ref="A2:AB30"/>
  <sheetViews>
    <sheetView showGridLines="0" tabSelected="1" topLeftCell="A2" workbookViewId="0">
      <selection activeCell="R20" sqref="R20"/>
    </sheetView>
  </sheetViews>
  <sheetFormatPr defaultRowHeight="14.4" x14ac:dyDescent="0.3"/>
  <cols>
    <col min="27" max="27" width="15.88671875" customWidth="1"/>
  </cols>
  <sheetData>
    <row r="2" spans="1:28" ht="25.8" x14ac:dyDescent="0.5">
      <c r="A2" s="8"/>
      <c r="B2" s="9" t="s">
        <v>46</v>
      </c>
      <c r="C2" s="10"/>
      <c r="D2" s="10"/>
      <c r="E2" s="10"/>
      <c r="F2" s="10"/>
      <c r="G2" s="10"/>
      <c r="H2" s="10"/>
      <c r="I2" s="10"/>
      <c r="J2" s="10"/>
      <c r="K2" s="10"/>
      <c r="L2" s="10"/>
      <c r="M2" s="10"/>
      <c r="N2" s="10"/>
      <c r="O2" s="10"/>
      <c r="P2" s="10"/>
      <c r="Q2" s="8"/>
      <c r="R2" s="8"/>
      <c r="S2" s="8"/>
      <c r="T2" s="8"/>
      <c r="U2" s="8"/>
      <c r="V2" s="8"/>
      <c r="W2" s="8"/>
    </row>
    <row r="3" spans="1:28" x14ac:dyDescent="0.3">
      <c r="A3" s="8"/>
      <c r="B3" s="8"/>
      <c r="C3" s="8"/>
      <c r="D3" s="8"/>
      <c r="E3" s="8"/>
      <c r="F3" s="8"/>
      <c r="G3" s="8"/>
      <c r="H3" s="8"/>
      <c r="I3" s="8"/>
      <c r="J3" s="8"/>
      <c r="K3" s="8"/>
      <c r="L3" s="8"/>
      <c r="M3" s="8"/>
      <c r="N3" s="8"/>
      <c r="O3" s="8"/>
      <c r="P3" s="8"/>
      <c r="Q3" s="8"/>
      <c r="R3" s="8"/>
      <c r="S3" s="8"/>
      <c r="T3" s="8"/>
      <c r="U3" s="8"/>
      <c r="V3" s="8"/>
      <c r="W3" s="8"/>
      <c r="AA3" s="3" t="s">
        <v>36</v>
      </c>
      <c r="AB3" s="3" t="s">
        <v>37</v>
      </c>
    </row>
    <row r="4" spans="1:28" x14ac:dyDescent="0.3">
      <c r="A4" s="8"/>
      <c r="B4" s="10" t="s">
        <v>42</v>
      </c>
      <c r="C4" s="10"/>
      <c r="D4" s="10"/>
      <c r="E4" s="8"/>
      <c r="F4" s="10" t="s">
        <v>43</v>
      </c>
      <c r="G4" s="10"/>
      <c r="H4" s="10"/>
      <c r="I4" s="8"/>
      <c r="J4" s="10" t="s">
        <v>44</v>
      </c>
      <c r="K4" s="10"/>
      <c r="L4" s="10"/>
      <c r="M4" s="8"/>
      <c r="N4" s="10" t="s">
        <v>45</v>
      </c>
      <c r="O4" s="10"/>
      <c r="P4" s="10"/>
      <c r="Q4" s="8"/>
      <c r="R4" s="8"/>
      <c r="S4" s="8"/>
      <c r="T4" s="8"/>
      <c r="U4" s="8"/>
      <c r="V4" s="8"/>
      <c r="W4" s="8"/>
      <c r="AA4" s="4" t="s">
        <v>38</v>
      </c>
      <c r="AB4" s="4">
        <f>COUNTA(Employeedata[Employee ID])</f>
        <v>10</v>
      </c>
    </row>
    <row r="5" spans="1:28" x14ac:dyDescent="0.3">
      <c r="A5" s="8"/>
      <c r="B5" s="10">
        <v>10</v>
      </c>
      <c r="C5" s="10"/>
      <c r="D5" s="10"/>
      <c r="E5" s="8"/>
      <c r="F5" s="11">
        <v>463000</v>
      </c>
      <c r="G5" s="11"/>
      <c r="H5" s="11"/>
      <c r="I5" s="8"/>
      <c r="J5" s="12">
        <v>46300</v>
      </c>
      <c r="K5" s="12"/>
      <c r="L5" s="12"/>
      <c r="M5" s="8"/>
      <c r="N5" s="10">
        <v>4.0999999999999996</v>
      </c>
      <c r="O5" s="10"/>
      <c r="P5" s="10"/>
      <c r="Q5" s="8"/>
      <c r="R5" s="8"/>
      <c r="S5" s="8"/>
      <c r="T5" s="8"/>
      <c r="U5" s="8"/>
      <c r="V5" s="8"/>
      <c r="W5" s="8"/>
      <c r="AA5" s="4" t="s">
        <v>39</v>
      </c>
      <c r="AB5" s="4">
        <f>SUM(Employeedata[Salary])</f>
        <v>463000</v>
      </c>
    </row>
    <row r="6" spans="1:28" x14ac:dyDescent="0.3">
      <c r="A6" s="8"/>
      <c r="B6" s="13"/>
      <c r="C6" s="13"/>
      <c r="D6" s="13"/>
      <c r="E6" s="8"/>
      <c r="F6" s="8"/>
      <c r="G6" s="8"/>
      <c r="H6" s="8"/>
      <c r="I6" s="8"/>
      <c r="J6" s="14"/>
      <c r="K6" s="8"/>
      <c r="L6" s="8"/>
      <c r="M6" s="8"/>
      <c r="N6" s="8"/>
      <c r="O6" s="8"/>
      <c r="P6" s="8"/>
      <c r="Q6" s="8"/>
      <c r="R6" s="8"/>
      <c r="S6" s="8"/>
      <c r="T6" s="8"/>
      <c r="U6" s="8"/>
      <c r="V6" s="8"/>
      <c r="W6" s="8"/>
      <c r="AA6" s="4" t="s">
        <v>40</v>
      </c>
      <c r="AB6" s="4">
        <f>AVERAGE(Employeedata[Salary])</f>
        <v>46300</v>
      </c>
    </row>
    <row r="7" spans="1:28" x14ac:dyDescent="0.3">
      <c r="A7" s="8"/>
      <c r="B7" s="8"/>
      <c r="C7" s="8"/>
      <c r="D7" s="8"/>
      <c r="E7" s="8"/>
      <c r="F7" s="8"/>
      <c r="G7" s="8"/>
      <c r="H7" s="8"/>
      <c r="I7" s="8"/>
      <c r="J7" s="8"/>
      <c r="K7" s="8"/>
      <c r="L7" s="8"/>
      <c r="M7" s="8"/>
      <c r="N7" s="8"/>
      <c r="O7" s="8"/>
      <c r="P7" s="8"/>
      <c r="Q7" s="8"/>
      <c r="R7" s="8"/>
      <c r="S7" s="8"/>
      <c r="T7" s="8"/>
      <c r="U7" s="8"/>
      <c r="V7" s="8"/>
      <c r="W7" s="8"/>
      <c r="AA7" s="4" t="s">
        <v>41</v>
      </c>
      <c r="AB7" s="4">
        <f>AVERAGE(Employeedata[Rating])</f>
        <v>4.0999999999999996</v>
      </c>
    </row>
    <row r="8" spans="1:28" x14ac:dyDescent="0.3">
      <c r="A8" s="8"/>
      <c r="B8" s="8"/>
      <c r="C8" s="8"/>
      <c r="D8" s="8"/>
      <c r="E8" s="8"/>
      <c r="F8" s="8"/>
      <c r="G8" s="8"/>
      <c r="H8" s="8"/>
      <c r="I8" s="8"/>
      <c r="J8" s="8"/>
      <c r="K8" s="8"/>
      <c r="L8" s="8"/>
      <c r="M8" s="8"/>
      <c r="N8" s="8"/>
      <c r="O8" s="8"/>
      <c r="P8" s="8"/>
      <c r="Q8" s="8"/>
      <c r="R8" s="8"/>
      <c r="S8" s="8"/>
      <c r="T8" s="8"/>
      <c r="U8" s="8"/>
      <c r="V8" s="8"/>
      <c r="W8" s="8"/>
    </row>
    <row r="9" spans="1:28" x14ac:dyDescent="0.3">
      <c r="A9" s="8"/>
      <c r="B9" s="8"/>
      <c r="C9" s="8"/>
      <c r="D9" s="8"/>
      <c r="E9" s="8"/>
      <c r="F9" s="8"/>
      <c r="G9" s="8"/>
      <c r="H9" s="8"/>
      <c r="I9" s="8"/>
      <c r="J9" s="8"/>
      <c r="K9" s="8"/>
      <c r="L9" s="8"/>
      <c r="M9" s="8"/>
      <c r="N9" s="8"/>
      <c r="O9" s="8"/>
      <c r="P9" s="8"/>
      <c r="Q9" s="8"/>
      <c r="R9" s="8"/>
      <c r="S9" s="8"/>
      <c r="T9" s="8"/>
      <c r="U9" s="8"/>
      <c r="V9" s="8"/>
      <c r="W9" s="8"/>
    </row>
    <row r="10" spans="1:28" x14ac:dyDescent="0.3">
      <c r="A10" s="8"/>
      <c r="B10" s="8"/>
      <c r="C10" s="8"/>
      <c r="D10" s="8"/>
      <c r="E10" s="8"/>
      <c r="F10" s="8"/>
      <c r="G10" s="8"/>
      <c r="H10" s="8"/>
      <c r="I10" s="8"/>
      <c r="J10" s="8"/>
      <c r="K10" s="8"/>
      <c r="L10" s="8"/>
      <c r="M10" s="8"/>
      <c r="N10" s="8"/>
      <c r="O10" s="8"/>
      <c r="P10" s="8"/>
      <c r="Q10" s="8"/>
      <c r="R10" s="8"/>
      <c r="S10" s="8"/>
      <c r="T10" s="8"/>
      <c r="U10" s="8"/>
      <c r="V10" s="8"/>
      <c r="W10" s="8"/>
    </row>
    <row r="11" spans="1:28" x14ac:dyDescent="0.3">
      <c r="A11" s="8"/>
      <c r="B11" s="8"/>
      <c r="C11" s="8"/>
      <c r="D11" s="8"/>
      <c r="E11" s="8"/>
      <c r="F11" s="8"/>
      <c r="G11" s="8"/>
      <c r="H11" s="8"/>
      <c r="I11" s="8"/>
      <c r="J11" s="8"/>
      <c r="K11" s="8"/>
      <c r="L11" s="8"/>
      <c r="M11" s="8"/>
      <c r="N11" s="8"/>
      <c r="O11" s="8"/>
      <c r="P11" s="8"/>
      <c r="Q11" s="8"/>
      <c r="R11" s="8"/>
      <c r="S11" s="8"/>
      <c r="T11" s="8"/>
      <c r="U11" s="8"/>
      <c r="V11" s="8"/>
      <c r="W11" s="8"/>
    </row>
    <row r="12" spans="1:28" x14ac:dyDescent="0.3">
      <c r="A12" s="8"/>
      <c r="B12" s="8"/>
      <c r="C12" s="8"/>
      <c r="D12" s="8"/>
      <c r="E12" s="8"/>
      <c r="F12" s="8"/>
      <c r="G12" s="8"/>
      <c r="H12" s="8"/>
      <c r="I12" s="8"/>
      <c r="J12" s="8"/>
      <c r="K12" s="8"/>
      <c r="L12" s="8"/>
      <c r="M12" s="8"/>
      <c r="N12" s="8"/>
      <c r="O12" s="8"/>
      <c r="P12" s="8"/>
      <c r="Q12" s="8"/>
      <c r="R12" s="8"/>
      <c r="S12" s="8"/>
      <c r="T12" s="8"/>
      <c r="U12" s="8"/>
      <c r="V12" s="8"/>
      <c r="W12" s="8"/>
    </row>
    <row r="13" spans="1:28" x14ac:dyDescent="0.3">
      <c r="A13" s="8"/>
      <c r="B13" s="8"/>
      <c r="C13" s="8"/>
      <c r="D13" s="8"/>
      <c r="E13" s="8"/>
      <c r="F13" s="8"/>
      <c r="G13" s="8"/>
      <c r="H13" s="8"/>
      <c r="I13" s="8"/>
      <c r="J13" s="8"/>
      <c r="K13" s="8"/>
      <c r="L13" s="8"/>
      <c r="M13" s="8"/>
      <c r="N13" s="8"/>
      <c r="O13" s="8"/>
      <c r="P13" s="8"/>
      <c r="Q13" s="8"/>
      <c r="R13" s="8"/>
      <c r="S13" s="8"/>
      <c r="T13" s="8"/>
      <c r="U13" s="8"/>
      <c r="V13" s="8"/>
      <c r="W13" s="8"/>
    </row>
    <row r="14" spans="1:28" x14ac:dyDescent="0.3">
      <c r="A14" s="8"/>
      <c r="B14" s="8"/>
      <c r="C14" s="8"/>
      <c r="D14" s="8"/>
      <c r="E14" s="8"/>
      <c r="F14" s="8"/>
      <c r="G14" s="8"/>
      <c r="H14" s="8"/>
      <c r="I14" s="8"/>
      <c r="J14" s="8"/>
      <c r="K14" s="8"/>
      <c r="L14" s="8"/>
      <c r="M14" s="8"/>
      <c r="N14" s="8"/>
      <c r="O14" s="8"/>
      <c r="P14" s="8"/>
      <c r="Q14" s="8"/>
      <c r="R14" s="8"/>
      <c r="S14" s="8"/>
      <c r="T14" s="8"/>
      <c r="U14" s="8"/>
      <c r="V14" s="8"/>
      <c r="W14" s="8"/>
    </row>
    <row r="15" spans="1:28" x14ac:dyDescent="0.3">
      <c r="A15" s="8"/>
      <c r="B15" s="8"/>
      <c r="C15" s="8"/>
      <c r="D15" s="8"/>
      <c r="E15" s="8"/>
      <c r="F15" s="8"/>
      <c r="G15" s="8"/>
      <c r="H15" s="8"/>
      <c r="I15" s="8"/>
      <c r="J15" s="8"/>
      <c r="K15" s="8"/>
      <c r="L15" s="8"/>
      <c r="M15" s="8"/>
      <c r="N15" s="8"/>
      <c r="O15" s="8"/>
      <c r="P15" s="8"/>
      <c r="Q15" s="8"/>
      <c r="R15" s="8"/>
      <c r="S15" s="8"/>
      <c r="T15" s="8"/>
      <c r="U15" s="8"/>
      <c r="V15" s="8"/>
      <c r="W15" s="8"/>
    </row>
    <row r="16" spans="1:28" x14ac:dyDescent="0.3">
      <c r="A16" s="8"/>
      <c r="B16" s="8"/>
      <c r="C16" s="8"/>
      <c r="D16" s="8"/>
      <c r="E16" s="8"/>
      <c r="F16" s="8"/>
      <c r="G16" s="8"/>
      <c r="H16" s="8"/>
      <c r="I16" s="8"/>
      <c r="J16" s="8"/>
      <c r="K16" s="8"/>
      <c r="L16" s="8"/>
      <c r="M16" s="8"/>
      <c r="N16" s="8"/>
      <c r="O16" s="8"/>
      <c r="P16" s="8"/>
      <c r="Q16" s="8"/>
      <c r="R16" s="8"/>
      <c r="S16" s="8"/>
      <c r="T16" s="8"/>
      <c r="U16" s="8"/>
      <c r="V16" s="8"/>
      <c r="W16" s="8"/>
    </row>
    <row r="17" spans="1:23" x14ac:dyDescent="0.3">
      <c r="A17" s="8"/>
      <c r="B17" s="8"/>
      <c r="C17" s="8"/>
      <c r="D17" s="8"/>
      <c r="E17" s="8"/>
      <c r="F17" s="8"/>
      <c r="G17" s="8"/>
      <c r="H17" s="8"/>
      <c r="I17" s="8"/>
      <c r="J17" s="8"/>
      <c r="K17" s="8"/>
      <c r="L17" s="8"/>
      <c r="M17" s="8"/>
      <c r="N17" s="8"/>
      <c r="O17" s="8"/>
      <c r="P17" s="8"/>
      <c r="Q17" s="8"/>
      <c r="R17" s="8"/>
      <c r="S17" s="8"/>
      <c r="T17" s="8"/>
      <c r="U17" s="8"/>
      <c r="V17" s="8"/>
      <c r="W17" s="8"/>
    </row>
    <row r="18" spans="1:23" x14ac:dyDescent="0.3">
      <c r="A18" s="8"/>
      <c r="B18" s="8"/>
      <c r="C18" s="8"/>
      <c r="D18" s="8"/>
      <c r="E18" s="8"/>
      <c r="F18" s="8"/>
      <c r="G18" s="8"/>
      <c r="H18" s="8"/>
      <c r="I18" s="8"/>
      <c r="J18" s="8"/>
      <c r="K18" s="8"/>
      <c r="L18" s="8"/>
      <c r="M18" s="8"/>
      <c r="N18" s="8"/>
      <c r="O18" s="8"/>
      <c r="P18" s="8"/>
      <c r="Q18" s="8"/>
      <c r="R18" s="8"/>
      <c r="S18" s="8"/>
      <c r="T18" s="8"/>
      <c r="U18" s="8"/>
      <c r="V18" s="8"/>
      <c r="W18" s="8"/>
    </row>
    <row r="19" spans="1:23" x14ac:dyDescent="0.3">
      <c r="A19" s="8"/>
      <c r="B19" s="8"/>
      <c r="C19" s="8"/>
      <c r="D19" s="8"/>
      <c r="E19" s="8"/>
      <c r="F19" s="8"/>
      <c r="G19" s="8"/>
      <c r="H19" s="8"/>
      <c r="I19" s="8"/>
      <c r="J19" s="8"/>
      <c r="K19" s="8"/>
      <c r="L19" s="8"/>
      <c r="M19" s="8"/>
      <c r="N19" s="8"/>
      <c r="O19" s="8"/>
      <c r="P19" s="8"/>
      <c r="Q19" s="8"/>
      <c r="R19" s="8"/>
      <c r="S19" s="8"/>
      <c r="T19" s="8"/>
      <c r="U19" s="8"/>
      <c r="V19" s="8"/>
      <c r="W19" s="8"/>
    </row>
    <row r="20" spans="1:23" x14ac:dyDescent="0.3">
      <c r="A20" s="8"/>
      <c r="B20" s="8"/>
      <c r="C20" s="8"/>
      <c r="D20" s="8"/>
      <c r="E20" s="8"/>
      <c r="F20" s="8"/>
      <c r="G20" s="8"/>
      <c r="H20" s="8"/>
      <c r="I20" s="8"/>
      <c r="J20" s="8"/>
      <c r="K20" s="8"/>
      <c r="L20" s="8"/>
      <c r="M20" s="8"/>
      <c r="N20" s="8"/>
      <c r="O20" s="8"/>
      <c r="P20" s="8"/>
      <c r="Q20" s="8"/>
      <c r="R20" s="8"/>
      <c r="S20" s="8"/>
      <c r="T20" s="8"/>
      <c r="U20" s="8"/>
      <c r="V20" s="8"/>
      <c r="W20" s="8"/>
    </row>
    <row r="21" spans="1:23" x14ac:dyDescent="0.3">
      <c r="A21" s="8"/>
      <c r="B21" s="8"/>
      <c r="C21" s="8"/>
      <c r="D21" s="8"/>
      <c r="E21" s="8"/>
      <c r="F21" s="8"/>
      <c r="G21" s="8"/>
      <c r="H21" s="8"/>
      <c r="I21" s="8"/>
      <c r="J21" s="8"/>
      <c r="K21" s="8"/>
      <c r="L21" s="8"/>
      <c r="M21" s="8"/>
      <c r="N21" s="8"/>
      <c r="O21" s="8"/>
      <c r="P21" s="8"/>
      <c r="Q21" s="8"/>
      <c r="R21" s="8"/>
      <c r="S21" s="8"/>
      <c r="T21" s="8"/>
      <c r="U21" s="8"/>
      <c r="V21" s="8"/>
      <c r="W21" s="8"/>
    </row>
    <row r="22" spans="1:23" x14ac:dyDescent="0.3">
      <c r="A22" s="8"/>
      <c r="B22" s="8"/>
      <c r="C22" s="8"/>
      <c r="D22" s="8"/>
      <c r="E22" s="8"/>
      <c r="F22" s="8"/>
      <c r="G22" s="8"/>
      <c r="H22" s="8"/>
      <c r="I22" s="8"/>
      <c r="J22" s="8"/>
      <c r="K22" s="8"/>
      <c r="L22" s="8"/>
      <c r="M22" s="8"/>
      <c r="N22" s="8"/>
      <c r="O22" s="8"/>
      <c r="P22" s="8"/>
      <c r="Q22" s="8"/>
      <c r="R22" s="8"/>
      <c r="S22" s="8"/>
      <c r="T22" s="8"/>
      <c r="U22" s="8"/>
      <c r="V22" s="8"/>
      <c r="W22" s="8"/>
    </row>
    <row r="23" spans="1:23" x14ac:dyDescent="0.3">
      <c r="A23" s="8"/>
      <c r="B23" s="8"/>
      <c r="C23" s="8"/>
      <c r="D23" s="8"/>
      <c r="E23" s="8"/>
      <c r="F23" s="8"/>
      <c r="G23" s="8"/>
      <c r="H23" s="8"/>
      <c r="I23" s="8"/>
      <c r="J23" s="8"/>
      <c r="K23" s="8"/>
      <c r="L23" s="8"/>
      <c r="M23" s="8"/>
      <c r="N23" s="8"/>
      <c r="O23" s="8"/>
      <c r="P23" s="8"/>
      <c r="Q23" s="8"/>
      <c r="R23" s="8"/>
      <c r="S23" s="8"/>
      <c r="T23" s="8"/>
      <c r="U23" s="8"/>
      <c r="V23" s="8"/>
      <c r="W23" s="8"/>
    </row>
    <row r="24" spans="1:23" x14ac:dyDescent="0.3">
      <c r="A24" s="8"/>
      <c r="B24" s="8"/>
      <c r="C24" s="8"/>
      <c r="D24" s="8"/>
      <c r="E24" s="8"/>
      <c r="F24" s="8"/>
      <c r="G24" s="8"/>
      <c r="H24" s="8"/>
      <c r="I24" s="8"/>
      <c r="J24" s="8"/>
      <c r="K24" s="8"/>
      <c r="L24" s="8"/>
      <c r="M24" s="8"/>
      <c r="N24" s="8"/>
      <c r="O24" s="8"/>
      <c r="P24" s="8"/>
      <c r="Q24" s="8"/>
      <c r="R24" s="8"/>
      <c r="S24" s="8"/>
      <c r="T24" s="8"/>
      <c r="U24" s="8"/>
      <c r="V24" s="8"/>
      <c r="W24" s="8"/>
    </row>
    <row r="25" spans="1:23" x14ac:dyDescent="0.3">
      <c r="A25" s="8"/>
      <c r="B25" s="8"/>
      <c r="C25" s="8"/>
      <c r="D25" s="8"/>
      <c r="E25" s="8"/>
      <c r="F25" s="8"/>
      <c r="G25" s="8"/>
      <c r="H25" s="8"/>
      <c r="I25" s="8"/>
      <c r="J25" s="8"/>
      <c r="K25" s="8"/>
      <c r="L25" s="8"/>
      <c r="M25" s="8"/>
      <c r="N25" s="8"/>
      <c r="O25" s="8"/>
      <c r="P25" s="8"/>
      <c r="Q25" s="8"/>
      <c r="R25" s="8"/>
      <c r="S25" s="8"/>
      <c r="T25" s="8"/>
      <c r="U25" s="8"/>
      <c r="V25" s="8"/>
      <c r="W25" s="8"/>
    </row>
    <row r="26" spans="1:23" x14ac:dyDescent="0.3">
      <c r="A26" s="8"/>
      <c r="B26" s="8"/>
      <c r="C26" s="8"/>
      <c r="D26" s="8"/>
      <c r="E26" s="8"/>
      <c r="F26" s="8"/>
      <c r="G26" s="8"/>
      <c r="H26" s="8"/>
      <c r="I26" s="8"/>
      <c r="J26" s="8"/>
      <c r="K26" s="8"/>
      <c r="L26" s="8"/>
      <c r="M26" s="8"/>
      <c r="N26" s="8"/>
      <c r="O26" s="8"/>
      <c r="P26" s="8"/>
      <c r="Q26" s="8"/>
      <c r="R26" s="8"/>
      <c r="S26" s="8"/>
      <c r="T26" s="8"/>
      <c r="U26" s="8"/>
      <c r="V26" s="8"/>
      <c r="W26" s="8"/>
    </row>
    <row r="27" spans="1:23" x14ac:dyDescent="0.3">
      <c r="A27" s="8"/>
      <c r="B27" s="8"/>
      <c r="C27" s="8"/>
      <c r="D27" s="8"/>
      <c r="E27" s="8"/>
      <c r="F27" s="8"/>
      <c r="G27" s="8"/>
      <c r="H27" s="8"/>
      <c r="I27" s="8"/>
      <c r="J27" s="8"/>
      <c r="K27" s="8"/>
      <c r="L27" s="8"/>
      <c r="M27" s="8"/>
      <c r="N27" s="8"/>
      <c r="O27" s="8"/>
      <c r="P27" s="8"/>
      <c r="Q27" s="8"/>
      <c r="R27" s="8"/>
      <c r="S27" s="8"/>
      <c r="T27" s="8"/>
      <c r="U27" s="8"/>
      <c r="V27" s="8"/>
      <c r="W27" s="8"/>
    </row>
    <row r="28" spans="1:23" x14ac:dyDescent="0.3">
      <c r="A28" s="8"/>
      <c r="B28" s="8"/>
      <c r="C28" s="8"/>
      <c r="D28" s="8"/>
      <c r="E28" s="8"/>
      <c r="F28" s="8"/>
      <c r="G28" s="8"/>
      <c r="H28" s="8"/>
      <c r="I28" s="8"/>
      <c r="J28" s="8"/>
      <c r="K28" s="8"/>
      <c r="L28" s="8"/>
      <c r="M28" s="8"/>
      <c r="N28" s="8"/>
      <c r="O28" s="8"/>
      <c r="P28" s="8"/>
      <c r="Q28" s="8"/>
      <c r="R28" s="8"/>
      <c r="S28" s="8"/>
      <c r="T28" s="8"/>
      <c r="U28" s="8"/>
      <c r="V28" s="8"/>
      <c r="W28" s="8"/>
    </row>
    <row r="29" spans="1:23" x14ac:dyDescent="0.3">
      <c r="A29" s="8"/>
      <c r="B29" s="8"/>
      <c r="C29" s="8"/>
      <c r="D29" s="8"/>
      <c r="E29" s="8"/>
      <c r="F29" s="8"/>
      <c r="G29" s="8"/>
      <c r="H29" s="8"/>
      <c r="I29" s="8"/>
      <c r="J29" s="8"/>
      <c r="K29" s="8"/>
      <c r="L29" s="8"/>
      <c r="M29" s="8"/>
      <c r="N29" s="8"/>
      <c r="O29" s="8"/>
      <c r="P29" s="8"/>
      <c r="Q29" s="8"/>
      <c r="R29" s="8"/>
      <c r="S29" s="8"/>
      <c r="T29" s="8"/>
      <c r="U29" s="8"/>
      <c r="V29" s="8"/>
      <c r="W29" s="8"/>
    </row>
    <row r="30" spans="1:23" x14ac:dyDescent="0.3">
      <c r="A30" s="8"/>
      <c r="B30" s="8"/>
      <c r="C30" s="8"/>
      <c r="D30" s="8"/>
      <c r="E30" s="8"/>
      <c r="F30" s="8"/>
      <c r="G30" s="8"/>
      <c r="H30" s="8"/>
      <c r="I30" s="8"/>
      <c r="J30" s="8"/>
      <c r="K30" s="8"/>
      <c r="L30" s="8"/>
      <c r="M30" s="8"/>
      <c r="N30" s="8"/>
      <c r="O30" s="8"/>
      <c r="P30" s="8"/>
      <c r="Q30" s="8"/>
      <c r="R30" s="8"/>
      <c r="S30" s="8"/>
      <c r="T30" s="8"/>
      <c r="U30" s="8"/>
      <c r="V30" s="8"/>
      <c r="W30" s="8"/>
    </row>
  </sheetData>
  <mergeCells count="9">
    <mergeCell ref="J4:L4"/>
    <mergeCell ref="J5:L5"/>
    <mergeCell ref="N4:P4"/>
    <mergeCell ref="N5:P5"/>
    <mergeCell ref="B2:P2"/>
    <mergeCell ref="F4:H4"/>
    <mergeCell ref="F5:H5"/>
    <mergeCell ref="B4:D4"/>
    <mergeCell ref="B5:D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60AC6-A59B-48B0-91D0-928BD8690672}">
  <dimension ref="A1:P8"/>
  <sheetViews>
    <sheetView workbookViewId="0">
      <selection activeCell="R9" sqref="R9"/>
    </sheetView>
  </sheetViews>
  <sheetFormatPr defaultRowHeight="14.4" x14ac:dyDescent="0.3"/>
  <cols>
    <col min="1" max="1" width="12.5546875" bestFit="1" customWidth="1"/>
    <col min="2" max="2" width="19.5546875" bestFit="1" customWidth="1"/>
    <col min="4" max="5" width="12.5546875" bestFit="1" customWidth="1"/>
    <col min="8" max="8" width="12.5546875" bestFit="1" customWidth="1"/>
    <col min="9" max="9" width="15.77734375" bestFit="1" customWidth="1"/>
    <col min="12" max="12" width="12.5546875" bestFit="1" customWidth="1"/>
    <col min="13" max="13" width="18.21875" bestFit="1" customWidth="1"/>
    <col min="15" max="15" width="12.5546875" bestFit="1" customWidth="1"/>
    <col min="16" max="16" width="19.5546875" bestFit="1" customWidth="1"/>
  </cols>
  <sheetData>
    <row r="1" spans="1:16" x14ac:dyDescent="0.3">
      <c r="A1" s="5" t="s">
        <v>30</v>
      </c>
      <c r="B1" t="s">
        <v>33</v>
      </c>
      <c r="H1" s="5" t="s">
        <v>30</v>
      </c>
      <c r="I1" t="s">
        <v>35</v>
      </c>
      <c r="L1" s="5" t="s">
        <v>30</v>
      </c>
      <c r="M1" t="s">
        <v>32</v>
      </c>
      <c r="O1" s="5" t="s">
        <v>30</v>
      </c>
      <c r="P1" t="s">
        <v>33</v>
      </c>
    </row>
    <row r="2" spans="1:16" x14ac:dyDescent="0.3">
      <c r="A2" s="6" t="s">
        <v>17</v>
      </c>
      <c r="B2" s="7">
        <v>2</v>
      </c>
      <c r="D2" s="5" t="s">
        <v>30</v>
      </c>
      <c r="E2" t="s">
        <v>34</v>
      </c>
      <c r="H2" s="6" t="s">
        <v>17</v>
      </c>
      <c r="I2" s="7">
        <v>57500</v>
      </c>
      <c r="L2" s="6" t="s">
        <v>11</v>
      </c>
      <c r="M2" s="7">
        <v>313</v>
      </c>
      <c r="O2" s="6" t="s">
        <v>16</v>
      </c>
      <c r="P2" s="7">
        <v>4</v>
      </c>
    </row>
    <row r="3" spans="1:16" x14ac:dyDescent="0.3">
      <c r="A3" s="6" t="s">
        <v>13</v>
      </c>
      <c r="B3" s="7">
        <v>2</v>
      </c>
      <c r="D3" s="6" t="s">
        <v>17</v>
      </c>
      <c r="E3" s="7">
        <v>115000</v>
      </c>
      <c r="H3" s="6" t="s">
        <v>13</v>
      </c>
      <c r="I3" s="7">
        <v>36500</v>
      </c>
      <c r="L3" s="6" t="s">
        <v>18</v>
      </c>
      <c r="M3" s="7">
        <v>210</v>
      </c>
      <c r="O3" s="6" t="s">
        <v>9</v>
      </c>
      <c r="P3" s="7">
        <v>6</v>
      </c>
    </row>
    <row r="4" spans="1:16" x14ac:dyDescent="0.3">
      <c r="A4" s="6" t="s">
        <v>10</v>
      </c>
      <c r="B4" s="7">
        <v>3</v>
      </c>
      <c r="D4" s="6" t="s">
        <v>13</v>
      </c>
      <c r="E4" s="7">
        <v>73000</v>
      </c>
      <c r="H4" s="6" t="s">
        <v>10</v>
      </c>
      <c r="I4" s="7">
        <v>48333.333333333336</v>
      </c>
      <c r="L4" s="6" t="s">
        <v>14</v>
      </c>
      <c r="M4" s="7">
        <v>207</v>
      </c>
      <c r="O4" s="6" t="s">
        <v>31</v>
      </c>
      <c r="P4" s="7">
        <v>10</v>
      </c>
    </row>
    <row r="5" spans="1:16" x14ac:dyDescent="0.3">
      <c r="A5" s="6" t="s">
        <v>27</v>
      </c>
      <c r="B5" s="7">
        <v>1</v>
      </c>
      <c r="D5" s="6" t="s">
        <v>10</v>
      </c>
      <c r="E5" s="7">
        <v>145000</v>
      </c>
      <c r="H5" s="6" t="s">
        <v>27</v>
      </c>
      <c r="I5" s="7">
        <v>41000</v>
      </c>
      <c r="L5" s="6" t="s">
        <v>28</v>
      </c>
      <c r="M5" s="7">
        <v>109</v>
      </c>
    </row>
    <row r="6" spans="1:16" x14ac:dyDescent="0.3">
      <c r="A6" s="6" t="s">
        <v>22</v>
      </c>
      <c r="B6" s="7">
        <v>2</v>
      </c>
      <c r="D6" s="6" t="s">
        <v>27</v>
      </c>
      <c r="E6" s="7">
        <v>41000</v>
      </c>
      <c r="H6" s="6" t="s">
        <v>22</v>
      </c>
      <c r="I6" s="7">
        <v>44500</v>
      </c>
      <c r="L6" s="6" t="s">
        <v>23</v>
      </c>
      <c r="M6" s="7">
        <v>216</v>
      </c>
    </row>
    <row r="7" spans="1:16" x14ac:dyDescent="0.3">
      <c r="A7" s="6" t="s">
        <v>31</v>
      </c>
      <c r="B7" s="7">
        <v>10</v>
      </c>
      <c r="D7" s="6" t="s">
        <v>22</v>
      </c>
      <c r="E7" s="7">
        <v>89000</v>
      </c>
      <c r="H7" s="6" t="s">
        <v>31</v>
      </c>
      <c r="I7" s="7">
        <v>46300</v>
      </c>
      <c r="L7" s="6" t="s">
        <v>31</v>
      </c>
      <c r="M7" s="7">
        <v>1055</v>
      </c>
    </row>
    <row r="8" spans="1:16" x14ac:dyDescent="0.3">
      <c r="D8" s="6" t="s">
        <v>31</v>
      </c>
      <c r="E8" s="7">
        <v>463000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Employeedata</vt:lpstr>
      <vt:lpstr>Dashboard</vt:lpstr>
      <vt:lpstr>pivot_data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p</dc:creator>
  <cp:lastModifiedBy>sunil p</cp:lastModifiedBy>
  <dcterms:created xsi:type="dcterms:W3CDTF">2026-08-13T16:54:26Z</dcterms:created>
  <dcterms:modified xsi:type="dcterms:W3CDTF">2026-08-13T18:40:55Z</dcterms:modified>
</cp:coreProperties>
</file>